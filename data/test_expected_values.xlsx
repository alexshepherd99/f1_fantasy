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Default Extension="jpeg" ContentType="image/jpeg"/>
  <Default Extension="png" ContentType="image/png"/>
  <Default Extension="tiff" ContentType="image/tiff"/>
  <Default Extension="gif" ContentType="image/gif"/>
  <Default Extension="wmf" ContentType="image/x-wmf"/>
  <Default Extension="emf" ContentType="image/x-emf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s\Dropbox\Dev\f1_fantasy\data\"/>
    </mc:Choice>
  </mc:AlternateContent>
  <xr:revisionPtr revIDLastSave="0" documentId="13_ncr:1_{8FCFF5DA-CF1A-4808-A569-C46E03E134BC}" xr6:coauthVersionLast="47" xr6:coauthVersionMax="47" xr10:uidLastSave="{00000000-0000-0000-0000-000000000000}"/>
  <bookViews>
    <workbookView activeTab="2" windowHeight="15840" windowWidth="29040" xWindow="-120" xr2:uid="{B8F73BD9-0904-4916-81F8-0E4EA1678C10}" yWindow="-120"/>
  </bookViews>
  <sheets>
    <sheet name="2003 Expected" sheetId="2" r:id="rId1"/>
    <sheet name="2023 Actual" sheetId="1" r:id="rId2"/>
    <sheet name="2004 Expected" sheetId="3" r:id="rId3"/>
    <sheet name="2004 Actual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<sst xmlns="http://schemas.openxmlformats.org/spreadsheetml/2006/main" count="42" uniqueCount="28">
  <si>
    <t>VER</t>
  </si>
  <si>
    <t>RED</t>
  </si>
  <si>
    <t>RIC</t>
  </si>
  <si>
    <t>ALT</t>
  </si>
  <si>
    <t>VER-RED-2003-points</t>
  </si>
  <si>
    <t>VER-RED-2003-points-cum</t>
  </si>
  <si>
    <t>Race</t>
  </si>
  <si>
    <t>RIC-ALT-2003-points</t>
  </si>
  <si>
    <t>RIC-ALT-2003-points-cum</t>
  </si>
  <si>
    <t>VER-RED-2003-ppm</t>
  </si>
  <si>
    <t>VER-RED-2003-price</t>
  </si>
  <si>
    <t>RIC-ALT-2003-price</t>
  </si>
  <si>
    <t>RIC-ALT-2003-ppm</t>
  </si>
  <si>
    <t>RED-2003-points</t>
  </si>
  <si>
    <t>RED-2003-points-cum</t>
  </si>
  <si>
    <t>RED-2003-price</t>
  </si>
  <si>
    <t>RED-2003-ppm</t>
  </si>
  <si>
    <t>BEA</t>
  </si>
  <si>
    <t>FER</t>
  </si>
  <si>
    <t>HAA</t>
  </si>
  <si>
    <t>BEA-2003-points-cum</t>
  </si>
  <si>
    <t>BEA-2003-points-total</t>
  </si>
  <si>
    <t>BEA-2003-price-total</t>
  </si>
  <si>
    <t>BEA-2003-ppm</t>
  </si>
  <si>
    <t>VER-RED-2003-price-cum</t>
  </si>
  <si>
    <t>RIC-ALT-2003-price-cum</t>
  </si>
  <si>
    <t>RED-2003-price-cum</t>
  </si>
  <si>
    <t>BEA-2003-price-total-cum</t>
  </si>
</sst>
</file>

<file path=xl/styles.xml><?xml version="1.0" encoding="utf-8"?>
<styleSheet xmlns="http://schemas.openxmlformats.org/spreadsheetml/2006/main" xmlns:a="http://schemas.openxmlformats.org/drawingml/2006/main" xmlns:mc="http://schemas.openxmlformats.org/markup-compatibility/2006" xmlns:x14ac="http://schemas.microsoft.com/office/spreadsheetml/2009/9/ac" xmlns:x16r2="http://schemas.microsoft.com/office/spreadsheetml/2015/02/main" xmlns:xdr="http://schemas.openxmlformats.org/drawingml/2006/spreadsheetDrawing" xmlns:xr="http://schemas.microsoft.com/office/spreadsheetml/2014/revision" mc:Ignorable="x14ac x16r2 xr">
  <numFmts count="8">
    <numFmt numFmtId="5" formatCode="&quot;$&quot;#,##0_);(&quot;$&quot;#,##0)"/>
    <numFmt numFmtId="6" formatCode="&quot;$&quot;#,##0_);[Red](&quot;$&quot;#,##0)"/>
    <numFmt numFmtId="7" formatCode="&quot;$&quot;#,##0.00_);(&quot;$&quot;#,##0.00)"/>
    <numFmt numFmtId="8" formatCode="&quot;$&quot;#,##0.00_);[Red](&quot;$&quot;#,##0.00)"/>
    <numFmt numFmtId="41" formatCode="_(* #,##0_);_(* (#,##0);_(* &quot;-&quot;_);_(@_)"/>
    <numFmt numFmtId="42" formatCode="_(&quot;$&quot;* #,##0_);_(&quot;$&quot;* (#,##0);_(&quot;$&quot;* &quot;-&quot;_);_(@_)"/>
    <numFmt numFmtId="43" formatCode="_(* #,##0.00_);_(* (#,##0.00);_(* &quot;-&quot;??_);_(@_)"/>
    <numFmt numFmtId="44" formatCode="_(&quot;$&quot;* #,##0.00_);_(&quot;$&quot;* (#,##0.00);_(&quot;$&quot;* &quot;-&quot;??_);_(@_)"/>
  </numFmts>
  <fonts count="5">
    <font>
      <name val="Calibri"/>
      <family val="2"/>
      <color rgb="FF000000"/>
      <sz val="11"/>
      <scheme val="minor"/>
    </font>
    <font>
      <name val="Inter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0"/>
      <scheme val="minor"/>
    </font>
    <font>
      <name val="Calibri"/>
      <family val="2"/>
      <b/>
      <color rgb="FF000000"/>
      <sz val="10"/>
      <scheme val="minor"/>
    </font>
  </fonts>
  <fills count="2">
    <fill>
      <patternFill patternType="none"/>
    </fill>
    <fill>
      <patternFill patternType="gray125"/>
    </fill>
  </fills>
  <borders count="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diagonal style="none">
        <color rgb="FF000000"/>
      </diagonal>
    </border>
  </borders>
  <cellStyleXfs count="1">
    <xf numFmtId="0" fontId="0" fillId="0" borderId="0" xf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 TargetMode="Internal"/><Relationship Id="rId2" Type="http://schemas.openxmlformats.org/officeDocument/2006/relationships/worksheet" Target="worksheets/sheet2.xml" TargetMode="Internal"/><Relationship Id="rId3" Type="http://schemas.openxmlformats.org/officeDocument/2006/relationships/worksheet" Target="worksheets/sheet3.xml" TargetMode="Internal"/><Relationship Id="rId4" Type="http://schemas.openxmlformats.org/officeDocument/2006/relationships/worksheet" Target="worksheets/sheet4.xml" TargetMode="Internal"/><Relationship Id="rId5" Type="http://schemas.openxmlformats.org/officeDocument/2006/relationships/theme" Target="theme/theme1.xml" TargetMode="Internal"/><Relationship Id="rId6" Type="http://schemas.openxmlformats.org/officeDocument/2006/relationships/styles" Target="styles.xml" TargetMode="Internal"/><Relationship Id="rId7" Type="http://schemas.openxmlformats.org/officeDocument/2006/relationships/sharedStrings" Target="sharedStrings.xml" TargetMode="Internal"/><Relationship Id="rId8" Type="http://schemas.openxmlformats.org/officeDocument/2006/relationships/calcChain" Target="calcChain.xml" TargetMode="Interna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 TargetMode="Internal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DE5DB-5BF7-41CE-BB16-C410E9F3C59E}"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K30" sqref="K30"/>
    </sheetView>
  </sheetViews>
  <sheetFormatPr baseColWidth="8" defaultRowHeight="12"/>
  <cols>
    <col min="1" max="1" width="4.7109375" style="3" bestFit="1" customWidth="1"/>
    <col min="2" max="2" width="17.85546875" style="3" bestFit="1" customWidth="1"/>
    <col min="3" max="3" width="21.85546875" style="3" bestFit="1" customWidth="1"/>
    <col min="4" max="4" width="16.7109375" style="3" bestFit="1" customWidth="1"/>
    <col min="5" max="5" width="20.7109375" style="3" bestFit="1" customWidth="1"/>
    <col min="6" max="6" width="16.140625" style="3" bestFit="1" customWidth="1"/>
    <col min="7" max="7" width="17" style="3" bestFit="1" customWidth="1"/>
    <col min="8" max="8" width="21" style="3" bestFit="1" customWidth="1"/>
    <col min="9" max="9" width="16" style="3" bestFit="1" customWidth="1"/>
    <col min="10" max="10" width="20" style="3" bestFit="1" customWidth="1"/>
    <col min="11" max="11" width="15.42578125" style="3" bestFit="1" customWidth="1"/>
    <col min="12" max="12" width="14.140625" style="3" bestFit="1" customWidth="1"/>
    <col min="13" max="13" width="18.140625" style="3" bestFit="1" customWidth="1"/>
    <col min="14" max="14" width="13.140625" style="3" bestFit="1" customWidth="1"/>
    <col min="15" max="15" width="17" style="3" bestFit="1" customWidth="1"/>
    <col min="16" max="16" width="12.7109375" style="3" bestFit="1" customWidth="1"/>
    <col min="17" max="16384" width="9.140625" style="3" customWidth="1"/>
  </cols>
  <sheetData>
    <row r="1" spans="1:16" s="4" customFormat="1">
      <c r="A1" s="4" t="s">
        <v>6</v>
      </c>
      <c r="B1" s="4" t="s">
        <v>4</v>
      </c>
      <c r="C1" s="4" t="s">
        <v>5</v>
      </c>
      <c r="D1" s="4" t="s">
        <v>10</v>
      </c>
      <c r="E1" s="4" t="s">
        <v>24</v>
      </c>
      <c r="F1" s="4" t="s">
        <v>9</v>
      </c>
      <c r="G1" s="4" t="s">
        <v>7</v>
      </c>
      <c r="H1" s="4" t="s">
        <v>8</v>
      </c>
      <c r="I1" s="4" t="s">
        <v>11</v>
      </c>
      <c r="J1" s="4" t="s">
        <v>25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26</v>
      </c>
      <c r="P1" s="4" t="s">
        <v>16</v>
      </c>
    </row>
    <row r="2" spans="1:16">
      <c r="A2" s="3">
        <v>1</v>
      </c>
      <c r="B2" s="3">
        <f>TRANSPOSE('2023 Actual'!C1:X1)</f>
        <v>35</v>
      </c>
      <c r="C2" s="3">
        <v>0</v>
      </c>
      <c r="D2" s="3">
        <f>TRANSPOSE('2023 Actual'!C2:X2)</f>
        <v>26.9</v>
      </c>
      <c r="E2" s="3">
        <v>0</v>
      </c>
      <c r="G2" s="3">
        <f>TRANSPOSE('2023 Actual'!C3:X3)</f>
        <v>0</v>
      </c>
      <c r="H2" s="3">
        <v>0</v>
      </c>
      <c r="I2" s="3">
        <f>TRANSPOSE('2023 Actual'!C4:X4)</f>
        <v>0</v>
      </c>
      <c r="J2" s="3">
        <v>0</v>
      </c>
      <c r="L2" s="3">
        <f>TRANSPOSE('2023 Actual'!C5:X5)</f>
        <v>78</v>
      </c>
      <c r="M2" s="3">
        <v>0</v>
      </c>
      <c r="N2" s="3">
        <f>TRANSPOSE('2023 Actual'!C6:X6)</f>
        <v>27.2</v>
      </c>
      <c r="O2" s="3">
        <v>0</v>
      </c>
    </row>
    <row r="3" spans="1:16">
      <c r="A3" s="3">
        <v>2</v>
      </c>
      <c r="B3" s="3">
        <v>61</v>
      </c>
      <c r="C3" s="3">
        <f>B2</f>
        <v>35</v>
      </c>
      <c r="D3" s="3">
        <v>27</v>
      </c>
      <c r="E3" s="3">
        <f>D2</f>
        <v>26.9</v>
      </c>
      <c r="F3" s="3">
        <f>C3/E3</f>
        <v>1.30111524163569</v>
      </c>
      <c r="G3" s="3">
        <v>0</v>
      </c>
      <c r="H3" s="3">
        <f>G2</f>
        <v>0</v>
      </c>
      <c r="I3" s="3">
        <v>0</v>
      </c>
      <c r="J3" s="3">
        <f>I2</f>
        <v>0</v>
      </c>
      <c r="L3" s="3">
        <v>95</v>
      </c>
      <c r="M3" s="3">
        <f>L2</f>
        <v>78</v>
      </c>
      <c r="N3" s="3">
        <v>27.3</v>
      </c>
      <c r="O3" s="3">
        <f>N2</f>
        <v>27.2</v>
      </c>
      <c r="P3" s="3">
        <f>M3/O3</f>
        <v>2.86764705882353</v>
      </c>
    </row>
    <row r="4" spans="1:16">
      <c r="A4" s="3">
        <v>3</v>
      </c>
      <c r="B4" s="3">
        <v>36</v>
      </c>
      <c r="C4" s="3">
        <f>SUM(B2:B3)</f>
        <v>96</v>
      </c>
      <c r="D4" s="3">
        <v>27.1</v>
      </c>
      <c r="E4" s="3">
        <f>SUM(D2:D3)</f>
        <v>53.9</v>
      </c>
      <c r="F4" s="3">
        <f>C4/E4</f>
        <v>1.78107606679035</v>
      </c>
      <c r="G4" s="3">
        <v>0</v>
      </c>
      <c r="H4" s="3">
        <f>SUM(G2:G3)</f>
        <v>0</v>
      </c>
      <c r="I4" s="3">
        <v>0</v>
      </c>
      <c r="J4" s="3">
        <f>SUM(I2:I3)</f>
        <v>0</v>
      </c>
      <c r="L4" s="3">
        <v>98</v>
      </c>
      <c r="M4" s="3">
        <f>SUM(L2:L3)</f>
        <v>173</v>
      </c>
      <c r="N4" s="3">
        <v>27.4</v>
      </c>
      <c r="O4" s="3">
        <f>SUM(N2:N3)</f>
        <v>54.5</v>
      </c>
      <c r="P4" s="3">
        <f>M4/O4</f>
        <v>3.1743119266055</v>
      </c>
    </row>
    <row r="5" spans="1:16">
      <c r="A5" s="3">
        <v>4</v>
      </c>
      <c r="B5" s="3">
        <v>37</v>
      </c>
      <c r="C5" s="3">
        <f>SUM(B2:B4)</f>
        <v>132</v>
      </c>
      <c r="D5" s="3">
        <v>27.2</v>
      </c>
      <c r="E5" s="3">
        <f>SUM(D2:D4)</f>
        <v>81</v>
      </c>
      <c r="F5" s="3">
        <f>C5/E5</f>
        <v>1.62962962962963</v>
      </c>
      <c r="G5" s="3">
        <v>0</v>
      </c>
      <c r="H5" s="3">
        <f>SUM(G2:G4)</f>
        <v>0</v>
      </c>
      <c r="I5" s="3">
        <v>0</v>
      </c>
      <c r="J5" s="3">
        <f>SUM(I2:I4)</f>
        <v>0</v>
      </c>
      <c r="L5" s="3">
        <v>108</v>
      </c>
      <c r="M5" s="3">
        <f>SUM(L2:L4)</f>
        <v>271</v>
      </c>
      <c r="N5" s="3">
        <v>27.5</v>
      </c>
      <c r="O5" s="3">
        <f>SUM(N2:N4)</f>
        <v>81.9</v>
      </c>
      <c r="P5" s="3">
        <f>M5/O5</f>
        <v>3.30891330891331</v>
      </c>
    </row>
    <row r="6" spans="1:16">
      <c r="A6" s="3">
        <v>5</v>
      </c>
      <c r="B6" s="3">
        <v>64</v>
      </c>
      <c r="C6" s="3">
        <f>SUM(B3:B5)</f>
        <v>134</v>
      </c>
      <c r="D6" s="3">
        <v>27.3</v>
      </c>
      <c r="E6" s="3">
        <f>SUM(D3:D5)</f>
        <v>81.3</v>
      </c>
      <c r="F6" s="3">
        <f>C6/E6</f>
        <v>1.64821648216482</v>
      </c>
      <c r="G6" s="3">
        <v>0</v>
      </c>
      <c r="H6" s="3">
        <f>SUM(G3:G5)</f>
        <v>0</v>
      </c>
      <c r="I6" s="3">
        <v>0</v>
      </c>
      <c r="J6" s="3">
        <f>SUM(I3:I5)</f>
        <v>0</v>
      </c>
      <c r="L6" s="3">
        <v>97</v>
      </c>
      <c r="M6" s="3">
        <f>SUM(L3:L5)</f>
        <v>301</v>
      </c>
      <c r="N6" s="3">
        <v>27.6</v>
      </c>
      <c r="O6" s="3">
        <f>SUM(N3:N5)</f>
        <v>82.2</v>
      </c>
      <c r="P6" s="3">
        <f>M6/O6</f>
        <v>3.661800486618</v>
      </c>
    </row>
    <row r="7" spans="1:16">
      <c r="A7" s="3">
        <v>6</v>
      </c>
      <c r="B7" s="3">
        <v>35</v>
      </c>
      <c r="C7" s="3">
        <f>SUM(B4:B6)</f>
        <v>137</v>
      </c>
      <c r="D7" s="3">
        <v>27.4</v>
      </c>
      <c r="E7" s="3">
        <f>SUM(D4:D6)</f>
        <v>81.6</v>
      </c>
      <c r="F7" s="3">
        <f>C7/E7</f>
        <v>1.67892156862745</v>
      </c>
      <c r="G7" s="3">
        <v>0</v>
      </c>
      <c r="H7" s="3">
        <f>SUM(G4:G6)</f>
        <v>0</v>
      </c>
      <c r="I7" s="3">
        <v>0</v>
      </c>
      <c r="J7" s="3">
        <f>SUM(I4:I6)</f>
        <v>0</v>
      </c>
      <c r="L7" s="3">
        <v>63</v>
      </c>
      <c r="M7" s="3">
        <f>SUM(L4:L6)</f>
        <v>303</v>
      </c>
      <c r="N7" s="3">
        <v>27.7</v>
      </c>
      <c r="O7" s="3">
        <f>SUM(N4:N6)</f>
        <v>82.5</v>
      </c>
      <c r="P7" s="3">
        <f>M7/O7</f>
        <v>3.67272727272727</v>
      </c>
    </row>
    <row r="8" spans="1:16">
      <c r="A8" s="3">
        <v>7</v>
      </c>
      <c r="B8" s="3">
        <v>46</v>
      </c>
      <c r="C8" s="3">
        <f>SUM(B5:B7)</f>
        <v>136</v>
      </c>
      <c r="D8" s="3">
        <v>27.5</v>
      </c>
      <c r="E8" s="3">
        <f>SUM(D5:D7)</f>
        <v>81.9</v>
      </c>
      <c r="F8" s="3">
        <f>C8/E8</f>
        <v>1.66056166056166</v>
      </c>
      <c r="G8" s="3">
        <v>0</v>
      </c>
      <c r="H8" s="3">
        <f>SUM(G5:G7)</f>
        <v>0</v>
      </c>
      <c r="I8" s="3">
        <v>0</v>
      </c>
      <c r="J8" s="3">
        <f>SUM(I5:I7)</f>
        <v>0</v>
      </c>
      <c r="L8" s="3">
        <v>96</v>
      </c>
      <c r="M8" s="3">
        <f>SUM(L5:L7)</f>
        <v>268</v>
      </c>
      <c r="N8" s="3">
        <v>27.8</v>
      </c>
      <c r="O8" s="3">
        <f>SUM(N5:N7)</f>
        <v>82.8</v>
      </c>
      <c r="P8" s="3">
        <f>M8/O8</f>
        <v>3.23671497584541</v>
      </c>
    </row>
    <row r="9" spans="1:16">
      <c r="A9" s="3">
        <v>8</v>
      </c>
      <c r="B9" s="3">
        <v>35</v>
      </c>
      <c r="C9" s="3">
        <f>SUM(B6:B8)</f>
        <v>145</v>
      </c>
      <c r="D9" s="3">
        <v>27.6</v>
      </c>
      <c r="E9" s="3">
        <f>SUM(D6:D8)</f>
        <v>82.2</v>
      </c>
      <c r="F9" s="3">
        <f>C9/E9</f>
        <v>1.7639902676399</v>
      </c>
      <c r="G9" s="3">
        <v>0</v>
      </c>
      <c r="H9" s="3">
        <f>SUM(G6:G8)</f>
        <v>0</v>
      </c>
      <c r="I9" s="3">
        <v>0</v>
      </c>
      <c r="J9" s="3">
        <f>SUM(I6:I8)</f>
        <v>0</v>
      </c>
      <c r="L9" s="3">
        <v>86</v>
      </c>
      <c r="M9" s="3">
        <f>SUM(L6:L8)</f>
        <v>256</v>
      </c>
      <c r="N9" s="3">
        <v>27.9</v>
      </c>
      <c r="O9" s="3">
        <f>SUM(N6:N8)</f>
        <v>83.1</v>
      </c>
      <c r="P9" s="3">
        <f>M9/O9</f>
        <v>3.0806257521059</v>
      </c>
    </row>
    <row r="10" spans="1:16">
      <c r="A10" s="3">
        <v>9</v>
      </c>
      <c r="B10" s="3">
        <v>56</v>
      </c>
      <c r="C10" s="3">
        <f>SUM(B7:B9)</f>
        <v>116</v>
      </c>
      <c r="D10" s="3">
        <v>27.8</v>
      </c>
      <c r="E10" s="3">
        <f>SUM(D7:D9)</f>
        <v>82.5</v>
      </c>
      <c r="F10" s="3">
        <f>C10/E10</f>
        <v>1.40606060606061</v>
      </c>
      <c r="G10" s="3">
        <v>0</v>
      </c>
      <c r="H10" s="3">
        <f>SUM(G7:G9)</f>
        <v>0</v>
      </c>
      <c r="I10" s="3">
        <v>0</v>
      </c>
      <c r="J10" s="3">
        <f>SUM(I7:I9)</f>
        <v>0</v>
      </c>
      <c r="L10" s="3">
        <v>112</v>
      </c>
      <c r="M10" s="3">
        <f>SUM(L7:L9)</f>
        <v>245</v>
      </c>
      <c r="N10" s="3">
        <v>28.1</v>
      </c>
      <c r="O10" s="3">
        <f>SUM(N7:N9)</f>
        <v>83.4</v>
      </c>
      <c r="P10" s="3">
        <f>M10/O10</f>
        <v>2.93764988009592</v>
      </c>
    </row>
    <row r="11" spans="1:16">
      <c r="A11" s="3">
        <v>10</v>
      </c>
      <c r="B11" s="3">
        <v>46</v>
      </c>
      <c r="C11" s="3">
        <f>SUM(B8:B10)</f>
        <v>137</v>
      </c>
      <c r="D11" s="3">
        <v>27.9</v>
      </c>
      <c r="E11" s="3">
        <f>SUM(D8:D10)</f>
        <v>82.9</v>
      </c>
      <c r="F11" s="3">
        <f>C11/E11</f>
        <v>1.65259348612786</v>
      </c>
      <c r="G11" s="3">
        <v>0</v>
      </c>
      <c r="H11" s="3">
        <f>SUM(G8:G10)</f>
        <v>0</v>
      </c>
      <c r="I11" s="3">
        <v>0</v>
      </c>
      <c r="J11" s="3">
        <f>SUM(I8:I10)</f>
        <v>0</v>
      </c>
      <c r="L11" s="3">
        <v>77</v>
      </c>
      <c r="M11" s="3">
        <f>SUM(L8:L10)</f>
        <v>294</v>
      </c>
      <c r="N11" s="3">
        <v>28.2</v>
      </c>
      <c r="O11" s="3">
        <f>SUM(N8:N10)</f>
        <v>83.8</v>
      </c>
      <c r="P11" s="3">
        <f>M11/O11</f>
        <v>3.50835322195704</v>
      </c>
    </row>
    <row r="12" spans="1:16">
      <c r="A12" s="3">
        <v>11</v>
      </c>
      <c r="B12" s="3">
        <v>46</v>
      </c>
      <c r="C12" s="3">
        <f>SUM(B9:B11)</f>
        <v>137</v>
      </c>
      <c r="D12" s="3">
        <v>28.1</v>
      </c>
      <c r="E12" s="3">
        <f>SUM(D9:D11)</f>
        <v>83.3</v>
      </c>
      <c r="F12" s="3">
        <f>C12/E12</f>
        <v>1.64465786314526</v>
      </c>
      <c r="G12" s="3">
        <v>2</v>
      </c>
      <c r="H12" s="3">
        <f>SUM(G9:G11)</f>
        <v>0</v>
      </c>
      <c r="I12" s="3">
        <v>4.5</v>
      </c>
      <c r="J12" s="3">
        <f>SUM(I9:I11)</f>
        <v>0</v>
      </c>
      <c r="L12" s="3">
        <v>95</v>
      </c>
      <c r="M12" s="3">
        <f>SUM(L9:L11)</f>
        <v>275</v>
      </c>
      <c r="N12" s="3">
        <v>28.4</v>
      </c>
      <c r="O12" s="3">
        <f>SUM(N9:N11)</f>
        <v>84.2</v>
      </c>
      <c r="P12" s="3">
        <f>M12/O12</f>
        <v>3.26603325415677</v>
      </c>
    </row>
    <row r="13" spans="1:16">
      <c r="A13" s="3">
        <v>12</v>
      </c>
      <c r="B13" s="3">
        <v>68</v>
      </c>
      <c r="C13" s="3">
        <f>SUM(B10:B12)</f>
        <v>148</v>
      </c>
      <c r="D13" s="3">
        <v>28.3</v>
      </c>
      <c r="E13" s="3">
        <f>SUM(D10:D12)</f>
        <v>83.8</v>
      </c>
      <c r="F13" s="3">
        <f>C13/E13</f>
        <v>1.76610978520286</v>
      </c>
      <c r="G13" s="3">
        <v>7</v>
      </c>
      <c r="H13" s="3">
        <f>SUM(G10:G12)</f>
        <v>2</v>
      </c>
      <c r="I13" s="3">
        <v>4.5</v>
      </c>
      <c r="J13" s="3">
        <f>SUM(I10:I12)</f>
        <v>4.5</v>
      </c>
      <c r="K13" s="3">
        <f>H13/J13</f>
        <v>0.444444444444444</v>
      </c>
      <c r="L13" s="3">
        <v>80</v>
      </c>
      <c r="M13" s="3">
        <f>SUM(L10:L12)</f>
        <v>284</v>
      </c>
      <c r="N13" s="3">
        <v>28.6</v>
      </c>
      <c r="O13" s="3">
        <f>SUM(N10:N12)</f>
        <v>84.7</v>
      </c>
      <c r="P13" s="3">
        <f>M13/O13</f>
        <v>3.3530106257379</v>
      </c>
    </row>
    <row r="14" spans="1:16">
      <c r="A14" s="3">
        <v>13</v>
      </c>
      <c r="B14" s="3">
        <v>46</v>
      </c>
      <c r="C14" s="3">
        <f>SUM(B11:B13)</f>
        <v>160</v>
      </c>
      <c r="D14" s="3">
        <v>28.5</v>
      </c>
      <c r="E14" s="3">
        <f>SUM(D11:D13)</f>
        <v>84.3</v>
      </c>
      <c r="F14" s="3">
        <f>C14/E14</f>
        <v>1.89798339264531</v>
      </c>
      <c r="G14" s="3">
        <v>0</v>
      </c>
      <c r="H14" s="3">
        <f>SUM(G11:G13)</f>
        <v>9</v>
      </c>
      <c r="I14" s="3">
        <v>0</v>
      </c>
      <c r="J14" s="3">
        <f>SUM(I11:I13)</f>
        <v>9</v>
      </c>
      <c r="K14" s="3">
        <f>H14/J14</f>
        <v>1</v>
      </c>
      <c r="L14" s="3">
        <v>101</v>
      </c>
      <c r="M14" s="3">
        <f>SUM(L11:L13)</f>
        <v>252</v>
      </c>
      <c r="N14" s="3">
        <v>28.7</v>
      </c>
      <c r="O14" s="3">
        <f>SUM(N11:N13)</f>
        <v>85.2</v>
      </c>
      <c r="P14" s="3">
        <f>M14/O14</f>
        <v>2.95774647887324</v>
      </c>
    </row>
    <row r="15" spans="1:16">
      <c r="A15" s="3">
        <v>14</v>
      </c>
      <c r="B15" s="3">
        <v>38</v>
      </c>
      <c r="C15" s="3">
        <f>SUM(B12:B14)</f>
        <v>160</v>
      </c>
      <c r="D15" s="3">
        <v>28.6</v>
      </c>
      <c r="E15" s="3">
        <f>SUM(D12:D14)</f>
        <v>84.9</v>
      </c>
      <c r="F15" s="3">
        <f>C15/E15</f>
        <v>1.88457008244994</v>
      </c>
      <c r="G15" s="3">
        <v>0</v>
      </c>
      <c r="H15" s="3">
        <f>SUM(G12:G14)</f>
        <v>9</v>
      </c>
      <c r="I15" s="3">
        <v>0</v>
      </c>
      <c r="J15" s="3">
        <f>SUM(I12:I14)</f>
        <v>9</v>
      </c>
      <c r="K15" s="3">
        <f>H15/J15</f>
        <v>1</v>
      </c>
      <c r="L15" s="3">
        <v>81</v>
      </c>
      <c r="M15" s="3">
        <f>SUM(L12:L14)</f>
        <v>276</v>
      </c>
      <c r="N15" s="3">
        <v>28.8</v>
      </c>
      <c r="O15" s="3">
        <f>SUM(N12:N14)</f>
        <v>85.7</v>
      </c>
      <c r="P15" s="3">
        <f>M15/O15</f>
        <v>3.22053675612602</v>
      </c>
    </row>
    <row r="16" spans="1:16">
      <c r="A16" s="3">
        <v>15</v>
      </c>
      <c r="B16" s="3">
        <v>25</v>
      </c>
      <c r="C16" s="3">
        <f>SUM(B13:B15)</f>
        <v>152</v>
      </c>
      <c r="D16" s="3">
        <v>28.8</v>
      </c>
      <c r="E16" s="3">
        <f>SUM(D13:D15)</f>
        <v>85.4</v>
      </c>
      <c r="F16" s="3">
        <f>C16/E16</f>
        <v>1.77985948477752</v>
      </c>
      <c r="G16" s="3">
        <v>0</v>
      </c>
      <c r="H16" s="3">
        <f>SUM(G13:G15)</f>
        <v>7</v>
      </c>
      <c r="I16" s="3">
        <v>0</v>
      </c>
      <c r="J16" s="3">
        <f>SUM(I13:I15)</f>
        <v>4.5</v>
      </c>
      <c r="K16" s="3">
        <f>H16/J16</f>
        <v>1.55555555555556</v>
      </c>
      <c r="L16" s="3">
        <v>54</v>
      </c>
      <c r="M16" s="3">
        <f>SUM(L13:L15)</f>
        <v>262</v>
      </c>
      <c r="N16" s="3">
        <v>29</v>
      </c>
      <c r="O16" s="3">
        <f>SUM(N13:N15)</f>
        <v>86.1</v>
      </c>
      <c r="P16" s="3">
        <f>M16/O16</f>
        <v>3.04297328687573</v>
      </c>
    </row>
    <row r="17" spans="1:16">
      <c r="A17" s="3">
        <v>16</v>
      </c>
      <c r="B17" s="3">
        <v>47</v>
      </c>
      <c r="C17" s="3">
        <f>SUM(B14:B16)</f>
        <v>109</v>
      </c>
      <c r="D17" s="3">
        <v>28.9</v>
      </c>
      <c r="E17" s="3">
        <f>SUM(D14:D16)</f>
        <v>85.9</v>
      </c>
      <c r="F17" s="3">
        <f>C17/E17</f>
        <v>1.26891734575087</v>
      </c>
      <c r="G17" s="3">
        <v>0</v>
      </c>
      <c r="H17" s="3">
        <f>SUM(G14:G16)</f>
        <v>0</v>
      </c>
      <c r="I17" s="3">
        <v>0</v>
      </c>
      <c r="J17" s="3">
        <f>SUM(I14:I16)</f>
        <v>0</v>
      </c>
      <c r="L17" s="3">
        <v>46</v>
      </c>
      <c r="M17" s="3">
        <f>SUM(L14:L16)</f>
        <v>236</v>
      </c>
      <c r="N17" s="3">
        <v>29.1</v>
      </c>
      <c r="O17" s="3">
        <f>SUM(N14:N16)</f>
        <v>86.5</v>
      </c>
      <c r="P17" s="3">
        <f>M17/O17</f>
        <v>2.72832369942197</v>
      </c>
    </row>
    <row r="18" spans="1:16">
      <c r="A18" s="3">
        <v>17</v>
      </c>
      <c r="B18" s="3">
        <v>62</v>
      </c>
      <c r="C18" s="3">
        <f>SUM(B15:B17)</f>
        <v>110</v>
      </c>
      <c r="D18" s="3">
        <v>29.1</v>
      </c>
      <c r="E18" s="3">
        <f>SUM(D15:D17)</f>
        <v>86.3</v>
      </c>
      <c r="F18" s="3">
        <f>C18/E18</f>
        <v>1.27462340672074</v>
      </c>
      <c r="G18" s="3">
        <v>0</v>
      </c>
      <c r="H18" s="3">
        <f>SUM(G15:G17)</f>
        <v>0</v>
      </c>
      <c r="I18" s="3">
        <v>0</v>
      </c>
      <c r="J18" s="3">
        <f>SUM(I15:I17)</f>
        <v>0</v>
      </c>
      <c r="L18" s="3">
        <v>64</v>
      </c>
      <c r="M18" s="3">
        <f>SUM(L15:L17)</f>
        <v>181</v>
      </c>
      <c r="N18" s="3">
        <v>29.2</v>
      </c>
      <c r="O18" s="3">
        <f>SUM(N15:N17)</f>
        <v>86.9</v>
      </c>
      <c r="P18" s="3">
        <f>M18/O18</f>
        <v>2.08285385500575</v>
      </c>
    </row>
    <row r="19" spans="1:16">
      <c r="A19" s="3">
        <v>18</v>
      </c>
      <c r="B19" s="3">
        <v>53</v>
      </c>
      <c r="C19" s="3">
        <f>SUM(B16:B18)</f>
        <v>134</v>
      </c>
      <c r="D19" s="3">
        <v>29.3</v>
      </c>
      <c r="E19" s="3">
        <f>SUM(D16:D18)</f>
        <v>86.8</v>
      </c>
      <c r="F19" s="3">
        <f>C19/E19</f>
        <v>1.54377880184332</v>
      </c>
      <c r="G19" s="3">
        <v>1</v>
      </c>
      <c r="H19" s="3">
        <f>SUM(G16:G18)</f>
        <v>0</v>
      </c>
      <c r="I19" s="3">
        <v>4.5</v>
      </c>
      <c r="J19" s="3">
        <f>SUM(I16:I18)</f>
        <v>0</v>
      </c>
      <c r="L19" s="3">
        <v>95</v>
      </c>
      <c r="M19" s="3">
        <f>SUM(L16:L18)</f>
        <v>164</v>
      </c>
      <c r="N19" s="3">
        <v>29.3</v>
      </c>
      <c r="O19" s="3">
        <f>SUM(N16:N18)</f>
        <v>87.3</v>
      </c>
      <c r="P19" s="3">
        <f>M19/O19</f>
        <v>1.87857961053837</v>
      </c>
    </row>
    <row r="20" spans="1:16">
      <c r="A20" s="3">
        <v>19</v>
      </c>
      <c r="B20" s="3">
        <v>42</v>
      </c>
      <c r="C20" s="3">
        <f>SUM(B17:B19)</f>
        <v>162</v>
      </c>
      <c r="D20" s="3">
        <v>29.5</v>
      </c>
      <c r="E20" s="3">
        <f>SUM(D17:D19)</f>
        <v>87.3</v>
      </c>
      <c r="F20" s="3">
        <f>C20/E20</f>
        <v>1.85567010309278</v>
      </c>
      <c r="G20" s="3">
        <v>12</v>
      </c>
      <c r="H20" s="3">
        <f>SUM(G17:G19)</f>
        <v>1</v>
      </c>
      <c r="I20" s="3">
        <v>4.5</v>
      </c>
      <c r="J20" s="3">
        <f>SUM(I17:I19)</f>
        <v>4.5</v>
      </c>
      <c r="K20" s="3">
        <f>H20/J20</f>
        <v>0.222222222222222</v>
      </c>
      <c r="L20" s="3">
        <v>45</v>
      </c>
      <c r="M20" s="3">
        <f>SUM(L17:L19)</f>
        <v>205</v>
      </c>
      <c r="N20" s="3">
        <v>29.4</v>
      </c>
      <c r="O20" s="3">
        <f>SUM(N17:N19)</f>
        <v>87.6</v>
      </c>
      <c r="P20" s="3">
        <f>M20/O20</f>
        <v>2.34018264840183</v>
      </c>
    </row>
    <row r="21" spans="1:16">
      <c r="A21" s="3">
        <v>20</v>
      </c>
      <c r="B21" s="3">
        <v>45</v>
      </c>
      <c r="C21" s="3">
        <f>SUM(B18:B20)</f>
        <v>157</v>
      </c>
      <c r="D21" s="3">
        <v>29.7</v>
      </c>
      <c r="E21" s="3">
        <f>SUM(D18:D20)</f>
        <v>87.9</v>
      </c>
      <c r="F21" s="3">
        <f>C21/E21</f>
        <v>1.78612059158134</v>
      </c>
      <c r="G21" s="3">
        <v>10</v>
      </c>
      <c r="H21" s="3">
        <f>SUM(G18:G20)</f>
        <v>13</v>
      </c>
      <c r="I21" s="3">
        <v>5</v>
      </c>
      <c r="J21" s="3">
        <f>SUM(I18:I20)</f>
        <v>9</v>
      </c>
      <c r="K21" s="3">
        <f>H21/J21</f>
        <v>1.44444444444444</v>
      </c>
      <c r="L21" s="3">
        <v>105</v>
      </c>
      <c r="M21" s="3">
        <f>SUM(L18:L20)</f>
        <v>204</v>
      </c>
      <c r="N21" s="3">
        <v>29.4</v>
      </c>
      <c r="O21" s="3">
        <f>SUM(N18:N20)</f>
        <v>87.9</v>
      </c>
      <c r="P21" s="3">
        <f>M21/O21</f>
        <v>2.32081911262799</v>
      </c>
    </row>
    <row r="22" spans="1:16">
      <c r="A22" s="3">
        <v>21</v>
      </c>
      <c r="B22" s="3">
        <v>44</v>
      </c>
      <c r="C22" s="3">
        <f>SUM(B19:B21)</f>
        <v>140</v>
      </c>
      <c r="D22" s="3">
        <v>29.9</v>
      </c>
      <c r="E22" s="3">
        <f>SUM(D19:D21)</f>
        <v>88.5</v>
      </c>
      <c r="F22" s="3">
        <f>C22/E22</f>
        <v>1.5819209039548</v>
      </c>
      <c r="G22" s="3">
        <v>6</v>
      </c>
      <c r="H22" s="3">
        <f>SUM(G19:G21)</f>
        <v>23</v>
      </c>
      <c r="I22" s="3">
        <v>5.5</v>
      </c>
      <c r="J22" s="3">
        <f>SUM(I19:I21)</f>
        <v>14</v>
      </c>
      <c r="K22" s="3">
        <f>H22/J22</f>
        <v>1.64285714285714</v>
      </c>
      <c r="L22" s="3">
        <v>84</v>
      </c>
      <c r="M22" s="3">
        <f>SUM(L19:L21)</f>
        <v>245</v>
      </c>
      <c r="N22" s="3">
        <v>29.6</v>
      </c>
      <c r="O22" s="3">
        <f>SUM(N19:N21)</f>
        <v>88.1</v>
      </c>
      <c r="P22" s="3">
        <f>M22/O22</f>
        <v>2.78093076049943</v>
      </c>
    </row>
    <row r="23" spans="1:16">
      <c r="A23" s="3">
        <v>22</v>
      </c>
      <c r="B23" s="3">
        <v>47</v>
      </c>
      <c r="C23" s="3">
        <f>SUM(B20:B22)</f>
        <v>131</v>
      </c>
      <c r="D23" s="3">
        <v>30</v>
      </c>
      <c r="E23" s="3">
        <f>SUM(D20:D22)</f>
        <v>89.1</v>
      </c>
      <c r="F23" s="3">
        <f>C23/E23</f>
        <v>1.4702581369248</v>
      </c>
      <c r="G23" s="3">
        <v>11</v>
      </c>
      <c r="H23" s="3">
        <f>SUM(G20:G22)</f>
        <v>28</v>
      </c>
      <c r="I23" s="3">
        <v>5.5</v>
      </c>
      <c r="J23" s="3">
        <f>SUM(I20:I22)</f>
        <v>15</v>
      </c>
      <c r="K23" s="3">
        <f>H23/J23</f>
        <v>1.86666666666667</v>
      </c>
      <c r="L23" s="3">
        <v>87</v>
      </c>
      <c r="M23" s="3">
        <f>SUM(L20:L22)</f>
        <v>234</v>
      </c>
      <c r="N23" s="3">
        <v>29.7</v>
      </c>
      <c r="O23" s="3">
        <f>SUM(N20:N22)</f>
        <v>88.4</v>
      </c>
      <c r="P23" s="3">
        <f>M23/O23</f>
        <v>2.64705882352941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4C22-B1F0-4432-9D5D-AC861A522885}">
  <sheetViews>
    <sheetView workbookViewId="0">
      <selection pane="topLeft" activeCell="C8" sqref="C8"/>
    </sheetView>
  </sheetViews>
  <sheetFormatPr baseColWidth="8" defaultRowHeight="15"/>
  <sheetData>
    <row r="1" spans="1:24" s="2" customFormat="1">
      <c r="A1" s="1" t="s">
        <v>0</v>
      </c>
      <c r="B1" s="1" t="s">
        <v>1</v>
      </c>
      <c r="C1" s="1">
        <v>35</v>
      </c>
      <c r="D1" s="1">
        <v>61</v>
      </c>
      <c r="E1" s="1">
        <v>36</v>
      </c>
      <c r="F1" s="1">
        <v>37</v>
      </c>
      <c r="G1" s="1">
        <v>64</v>
      </c>
      <c r="H1" s="1">
        <v>35</v>
      </c>
      <c r="I1" s="1">
        <v>46</v>
      </c>
      <c r="J1" s="1">
        <v>35</v>
      </c>
      <c r="K1" s="1">
        <v>56</v>
      </c>
      <c r="L1" s="1">
        <v>46</v>
      </c>
      <c r="M1" s="1">
        <v>46</v>
      </c>
      <c r="N1" s="1">
        <v>68</v>
      </c>
      <c r="O1" s="1">
        <v>46</v>
      </c>
      <c r="P1" s="1">
        <v>38</v>
      </c>
      <c r="Q1" s="1">
        <v>25</v>
      </c>
      <c r="R1" s="1">
        <v>47</v>
      </c>
      <c r="S1" s="1">
        <v>62</v>
      </c>
      <c r="T1" s="1">
        <v>53</v>
      </c>
      <c r="U1" s="1">
        <v>42</v>
      </c>
      <c r="V1" s="1">
        <v>45</v>
      </c>
      <c r="W1" s="1">
        <v>44</v>
      </c>
      <c r="X1" s="1">
        <v>47</v>
      </c>
    </row>
    <row r="2" spans="1:24" s="2" customFormat="1">
      <c r="A2" s="1" t="s">
        <v>0</v>
      </c>
      <c r="B2" s="1" t="s">
        <v>1</v>
      </c>
      <c r="C2" s="1">
        <v>26.9</v>
      </c>
      <c r="D2" s="1">
        <v>27</v>
      </c>
      <c r="E2" s="1">
        <v>27.1</v>
      </c>
      <c r="F2" s="1">
        <v>27.2</v>
      </c>
      <c r="G2" s="1">
        <v>27.3</v>
      </c>
      <c r="H2" s="1">
        <v>27.4</v>
      </c>
      <c r="I2" s="1">
        <v>27.5</v>
      </c>
      <c r="J2" s="1">
        <v>27.6</v>
      </c>
      <c r="K2" s="1">
        <v>27.8</v>
      </c>
      <c r="L2" s="1">
        <v>27.9</v>
      </c>
      <c r="M2" s="1">
        <v>28.1</v>
      </c>
      <c r="N2" s="1">
        <v>28.3</v>
      </c>
      <c r="O2" s="1">
        <v>28.5</v>
      </c>
      <c r="P2" s="1">
        <v>28.6</v>
      </c>
      <c r="Q2" s="1">
        <v>28.8</v>
      </c>
      <c r="R2" s="1">
        <v>28.9</v>
      </c>
      <c r="S2" s="1">
        <v>29.1</v>
      </c>
      <c r="T2" s="1">
        <v>29.3</v>
      </c>
      <c r="U2" s="1">
        <v>29.5</v>
      </c>
      <c r="V2" s="1">
        <v>29.7</v>
      </c>
      <c r="W2" s="1">
        <v>29.9</v>
      </c>
      <c r="X2" s="1">
        <v>30</v>
      </c>
    </row>
    <row r="3" spans="1:24" s="2" customFormat="1">
      <c r="A3" s="1" t="s">
        <v>2</v>
      </c>
      <c r="B3" s="1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>
        <v>2</v>
      </c>
      <c r="N3" s="1">
        <v>7</v>
      </c>
      <c r="O3" s="1"/>
      <c r="P3" s="1"/>
      <c r="Q3" s="1"/>
      <c r="R3" s="1"/>
      <c r="S3" s="1"/>
      <c r="T3" s="1">
        <v>1</v>
      </c>
      <c r="U3" s="1">
        <v>12</v>
      </c>
      <c r="V3" s="1">
        <v>10</v>
      </c>
      <c r="W3" s="1">
        <v>6</v>
      </c>
      <c r="X3" s="1">
        <v>11</v>
      </c>
    </row>
    <row r="4" spans="1:24" s="2" customFormat="1">
      <c r="A4" s="1" t="s">
        <v>2</v>
      </c>
      <c r="B4" s="1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>
        <v>4.5</v>
      </c>
      <c r="N4" s="1">
        <v>4.5</v>
      </c>
      <c r="O4" s="1"/>
      <c r="P4" s="1"/>
      <c r="Q4" s="1"/>
      <c r="R4" s="1"/>
      <c r="S4" s="1"/>
      <c r="T4" s="1">
        <v>4.5</v>
      </c>
      <c r="U4" s="1">
        <v>4.5</v>
      </c>
      <c r="V4" s="1">
        <v>5</v>
      </c>
      <c r="W4" s="1">
        <v>5.5</v>
      </c>
      <c r="X4" s="1">
        <v>5.5</v>
      </c>
    </row>
    <row r="5" spans="1:24">
      <c r="B5" s="1" t="s">
        <v>1</v>
      </c>
      <c r="C5" s="1">
        <v>78</v>
      </c>
      <c r="D5" s="1">
        <v>95</v>
      </c>
      <c r="E5" s="1">
        <v>98</v>
      </c>
      <c r="F5" s="1">
        <v>108</v>
      </c>
      <c r="G5" s="1">
        <v>97</v>
      </c>
      <c r="H5" s="1">
        <v>63</v>
      </c>
      <c r="I5" s="1">
        <v>96</v>
      </c>
      <c r="J5" s="1">
        <v>86</v>
      </c>
      <c r="K5" s="1">
        <v>112</v>
      </c>
      <c r="L5" s="1">
        <v>77</v>
      </c>
      <c r="M5" s="1">
        <v>95</v>
      </c>
      <c r="N5" s="1">
        <v>80</v>
      </c>
      <c r="O5" s="1">
        <v>101</v>
      </c>
      <c r="P5" s="1">
        <v>81</v>
      </c>
      <c r="Q5" s="1">
        <v>54</v>
      </c>
      <c r="R5" s="1">
        <v>46</v>
      </c>
      <c r="S5" s="1">
        <v>64</v>
      </c>
      <c r="T5" s="1">
        <v>95</v>
      </c>
      <c r="U5" s="1">
        <v>45</v>
      </c>
      <c r="V5" s="1">
        <v>105</v>
      </c>
      <c r="W5" s="1">
        <v>84</v>
      </c>
      <c r="X5" s="1">
        <v>87</v>
      </c>
    </row>
    <row r="6" spans="1:24">
      <c r="B6" s="1" t="s">
        <v>1</v>
      </c>
      <c r="C6" s="1">
        <v>27.2</v>
      </c>
      <c r="D6" s="1">
        <v>27.3</v>
      </c>
      <c r="E6" s="1">
        <v>27.4</v>
      </c>
      <c r="F6" s="1">
        <v>27.5</v>
      </c>
      <c r="G6" s="1">
        <v>27.6</v>
      </c>
      <c r="H6" s="1">
        <v>27.7</v>
      </c>
      <c r="I6" s="1">
        <v>27.8</v>
      </c>
      <c r="J6" s="1">
        <v>27.9</v>
      </c>
      <c r="K6" s="1">
        <v>28.1</v>
      </c>
      <c r="L6" s="1">
        <v>28.2</v>
      </c>
      <c r="M6" s="1">
        <v>28.4</v>
      </c>
      <c r="N6" s="1">
        <v>28.6</v>
      </c>
      <c r="O6" s="1">
        <v>28.7</v>
      </c>
      <c r="P6" s="1">
        <v>28.8</v>
      </c>
      <c r="Q6" s="1">
        <v>29</v>
      </c>
      <c r="R6" s="1">
        <v>29.1</v>
      </c>
      <c r="S6" s="1">
        <v>29.2</v>
      </c>
      <c r="T6" s="1">
        <v>29.3</v>
      </c>
      <c r="U6" s="1">
        <v>29.4</v>
      </c>
      <c r="V6" s="1">
        <v>29.4</v>
      </c>
      <c r="W6" s="1">
        <v>29.6</v>
      </c>
      <c r="X6" s="1">
        <v>29.7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84D71-4AC0-4629-BA1E-E13CC0397A92}">
  <sheetViews>
    <sheetView workbookViewId="0" tabSelected="1">
      <pane xSplit="1" ySplit="1" topLeftCell="B2" activePane="bottomRight" state="frozen"/>
      <selection pane="topRight" activeCell="B1" sqref="B1"/>
      <selection pane="bottomLeft" activeCell="A2" sqref="A2"/>
      <selection pane="bottomRight" activeCell="F6" sqref="F6"/>
    </sheetView>
  </sheetViews>
  <sheetFormatPr baseColWidth="8" defaultRowHeight="15"/>
  <cols>
    <col min="1" max="1" width="4.5703125" bestFit="1" customWidth="1"/>
    <col min="2" max="2" width="18.5703125" bestFit="1" customWidth="1"/>
    <col min="3" max="3" width="18.140625" bestFit="1" customWidth="1"/>
    <col min="4" max="4" width="17.5703125" bestFit="1" customWidth="1"/>
    <col min="5" max="5" width="17.5703125" customWidth="1"/>
    <col min="6" max="6" width="16.42578125" bestFit="1" customWidth="1"/>
  </cols>
  <sheetData>
    <row r="1" spans="1:6">
      <c r="A1" s="4" t="s">
        <v>6</v>
      </c>
      <c r="B1" s="4" t="s">
        <v>21</v>
      </c>
      <c r="C1" s="4" t="s">
        <v>20</v>
      </c>
      <c r="D1" s="4" t="s">
        <v>22</v>
      </c>
      <c r="E1" s="4" t="s">
        <v>27</v>
      </c>
      <c r="F1" s="4" t="s">
        <v>23</v>
      </c>
    </row>
    <row r="2" spans="1:6">
      <c r="A2" s="3">
        <v>1</v>
      </c>
      <c r="B2" s="3">
        <f>TRANSPOSE('2004 Actual'!C3:Z3)</f>
        <v>0</v>
      </c>
      <c r="C2" s="3">
        <v>0</v>
      </c>
      <c r="D2" s="3">
        <f>TRANSPOSE('2004 Actual'!C6:Z6)</f>
        <v>0</v>
      </c>
      <c r="E2" s="3">
        <v>0</v>
      </c>
      <c r="F2" s="3"/>
    </row>
    <row r="3" spans="1:6">
      <c r="A3" s="3">
        <v>2</v>
      </c>
      <c r="B3" s="3">
        <v>0</v>
      </c>
      <c r="C3" s="3">
        <f>B2</f>
        <v>0</v>
      </c>
      <c r="D3" s="3">
        <v>14</v>
      </c>
      <c r="E3" s="3">
        <f>D2</f>
        <v>0</v>
      </c>
      <c r="F3" s="3"/>
    </row>
    <row r="4" spans="1:6">
      <c r="A4" s="3">
        <v>3</v>
      </c>
      <c r="B4" s="3">
        <v>0</v>
      </c>
      <c r="C4" s="3">
        <f>SUM(B2:B3)</f>
        <v>0</v>
      </c>
      <c r="D4" s="3">
        <v>0</v>
      </c>
      <c r="E4" s="3">
        <f>SUM(D2:D3)</f>
        <v>14</v>
      </c>
      <c r="F4" s="3"/>
    </row>
    <row r="5" spans="1:6">
      <c r="A5" s="3">
        <v>4</v>
      </c>
      <c r="B5" s="3">
        <v>0</v>
      </c>
      <c r="C5" s="3">
        <f>SUM(B2:B4)</f>
        <v>0</v>
      </c>
      <c r="D5" s="3">
        <v>0</v>
      </c>
      <c r="E5" s="3">
        <f>SUM(D2:D4)</f>
        <v>14</v>
      </c>
      <c r="F5" s="3"/>
    </row>
    <row r="6" spans="1:6">
      <c r="A6" s="3">
        <v>5</v>
      </c>
      <c r="B6" s="3">
        <v>0</v>
      </c>
      <c r="C6" s="3">
        <f>SUM(B3:B5)</f>
        <v>0</v>
      </c>
      <c r="D6" s="3">
        <v>0</v>
      </c>
      <c r="E6" s="3">
        <f>SUM(D3:D5)</f>
        <v>14</v>
      </c>
      <c r="F6" s="3"/>
    </row>
    <row r="7" spans="1:6">
      <c r="A7" s="3">
        <v>6</v>
      </c>
      <c r="B7" s="3">
        <v>0</v>
      </c>
      <c r="C7" s="3">
        <f>SUM(B4:B6)</f>
        <v>0</v>
      </c>
      <c r="D7" s="3">
        <v>0</v>
      </c>
      <c r="E7" s="3">
        <f>SUM(D4:D6)</f>
        <v>0</v>
      </c>
      <c r="F7" s="3"/>
    </row>
    <row r="8" spans="1:6">
      <c r="A8" s="3">
        <v>7</v>
      </c>
      <c r="B8" s="3">
        <v>0</v>
      </c>
      <c r="C8" s="3">
        <f>SUM(B5:B7)</f>
        <v>0</v>
      </c>
      <c r="D8" s="3">
        <v>0</v>
      </c>
      <c r="E8" s="3">
        <f>SUM(D5:D7)</f>
        <v>0</v>
      </c>
      <c r="F8" s="3"/>
    </row>
    <row r="9" spans="1:6">
      <c r="A9" s="3">
        <v>8</v>
      </c>
      <c r="B9" s="3">
        <v>0</v>
      </c>
      <c r="C9" s="3">
        <f>SUM(B6:B8)</f>
        <v>0</v>
      </c>
      <c r="D9" s="3">
        <v>0</v>
      </c>
      <c r="E9" s="3">
        <f>SUM(D6:D8)</f>
        <v>0</v>
      </c>
      <c r="F9" s="3"/>
    </row>
    <row r="10" spans="1:6">
      <c r="A10" s="3">
        <v>9</v>
      </c>
      <c r="B10" s="3">
        <v>0</v>
      </c>
      <c r="C10" s="3">
        <f>SUM(B7:B9)</f>
        <v>0</v>
      </c>
      <c r="D10" s="3">
        <v>0</v>
      </c>
      <c r="E10" s="3">
        <f>SUM(D7:D9)</f>
        <v>0</v>
      </c>
      <c r="F10" s="3"/>
    </row>
    <row r="11" spans="1:6">
      <c r="A11" s="3">
        <v>10</v>
      </c>
      <c r="B11" s="3">
        <v>0</v>
      </c>
      <c r="C11" s="3">
        <f>SUM(B8:B10)</f>
        <v>0</v>
      </c>
      <c r="D11" s="3">
        <v>0</v>
      </c>
      <c r="E11" s="3">
        <f>SUM(D8:D10)</f>
        <v>0</v>
      </c>
      <c r="F11" s="3"/>
    </row>
    <row r="12" spans="1:6">
      <c r="A12" s="3">
        <v>11</v>
      </c>
      <c r="B12" s="3">
        <v>0</v>
      </c>
      <c r="C12" s="3">
        <f>SUM(B9:B11)</f>
        <v>0</v>
      </c>
      <c r="D12" s="3">
        <v>0</v>
      </c>
      <c r="E12" s="3">
        <f>SUM(D9:D11)</f>
        <v>0</v>
      </c>
      <c r="F12" s="3"/>
    </row>
    <row r="13" spans="1:6">
      <c r="A13" s="3">
        <v>12</v>
      </c>
      <c r="B13" s="3">
        <v>0</v>
      </c>
      <c r="C13" s="3">
        <f>SUM(B10:B12)</f>
        <v>0</v>
      </c>
      <c r="D13" s="3">
        <v>0</v>
      </c>
      <c r="E13" s="3">
        <f>SUM(D10:D12)</f>
        <v>0</v>
      </c>
      <c r="F13" s="3"/>
    </row>
    <row r="14" spans="1:6">
      <c r="A14" s="3">
        <v>13</v>
      </c>
      <c r="B14" s="3">
        <v>0</v>
      </c>
      <c r="C14" s="3">
        <f>SUM(B11:B13)</f>
        <v>0</v>
      </c>
      <c r="D14" s="3">
        <v>0</v>
      </c>
      <c r="E14" s="3">
        <f>SUM(D11:D13)</f>
        <v>0</v>
      </c>
      <c r="F14" s="3"/>
    </row>
    <row r="15" spans="1:6">
      <c r="A15" s="3">
        <v>14</v>
      </c>
      <c r="B15" s="3">
        <v>0</v>
      </c>
      <c r="C15" s="3">
        <f>SUM(B12:B14)</f>
        <v>0</v>
      </c>
      <c r="D15" s="3">
        <v>0</v>
      </c>
      <c r="E15" s="3">
        <f>SUM(D12:D14)</f>
        <v>0</v>
      </c>
      <c r="F15" s="3"/>
    </row>
    <row r="16" spans="1:6">
      <c r="A16" s="3">
        <v>15</v>
      </c>
      <c r="B16" s="3">
        <v>0</v>
      </c>
      <c r="C16" s="3">
        <f>SUM(B13:B15)</f>
        <v>0</v>
      </c>
      <c r="D16" s="3">
        <v>0</v>
      </c>
      <c r="E16" s="3">
        <f>SUM(D13:D15)</f>
        <v>0</v>
      </c>
      <c r="F16" s="3"/>
    </row>
    <row r="17" spans="1:6">
      <c r="A17" s="3">
        <v>16</v>
      </c>
      <c r="B17" s="3">
        <v>0</v>
      </c>
      <c r="C17" s="3">
        <f>SUM(B14:B16)</f>
        <v>0</v>
      </c>
      <c r="D17" s="3">
        <v>0</v>
      </c>
      <c r="E17" s="3">
        <f>SUM(D14:D16)</f>
        <v>0</v>
      </c>
      <c r="F17" s="3"/>
    </row>
    <row r="18" spans="1:6">
      <c r="A18" s="3">
        <v>17</v>
      </c>
      <c r="B18" s="3">
        <v>7</v>
      </c>
      <c r="C18" s="3">
        <f>SUM(B15:B17)</f>
        <v>0</v>
      </c>
      <c r="D18" s="3">
        <v>15</v>
      </c>
      <c r="E18" s="3">
        <f>SUM(D15:D17)</f>
        <v>0</v>
      </c>
      <c r="F18" s="3"/>
    </row>
    <row r="19" spans="1:6">
      <c r="A19" s="3">
        <v>18</v>
      </c>
      <c r="B19" s="3">
        <v>0</v>
      </c>
      <c r="C19" s="3">
        <f>SUM(B16:B18)</f>
        <v>7</v>
      </c>
      <c r="D19" s="3">
        <v>0</v>
      </c>
      <c r="E19" s="3">
        <f>SUM(D16:D18)</f>
        <v>15</v>
      </c>
      <c r="F19" s="3">
        <f>C19/E19</f>
        <v>0.466666666666667</v>
      </c>
    </row>
    <row r="20" spans="1:6">
      <c r="A20" s="3">
        <v>19</v>
      </c>
      <c r="B20" s="3">
        <v>0</v>
      </c>
      <c r="C20" s="3">
        <f>SUM(B17:B19)</f>
        <v>7</v>
      </c>
      <c r="D20" s="3">
        <v>0</v>
      </c>
      <c r="E20" s="3">
        <f>SUM(D17:D19)</f>
        <v>15</v>
      </c>
      <c r="F20" s="3">
        <f>C20/E20</f>
        <v>0.466666666666667</v>
      </c>
    </row>
    <row r="21" spans="1:6">
      <c r="A21" s="3">
        <v>20</v>
      </c>
      <c r="B21" s="3">
        <v>0</v>
      </c>
      <c r="C21" s="3">
        <f>SUM(B18:B20)</f>
        <v>7</v>
      </c>
      <c r="D21" s="3">
        <v>0</v>
      </c>
      <c r="E21" s="3">
        <f>SUM(D18:D20)</f>
        <v>15</v>
      </c>
      <c r="F21" s="3">
        <f>C21/E21</f>
        <v>0.466666666666667</v>
      </c>
    </row>
    <row r="22" spans="1:6">
      <c r="A22" s="3">
        <v>21</v>
      </c>
      <c r="B22" s="3">
        <v>14</v>
      </c>
      <c r="C22" s="3">
        <f>SUM(B19:B21)</f>
        <v>0</v>
      </c>
      <c r="D22" s="3">
        <v>13.3</v>
      </c>
      <c r="E22" s="3">
        <f>SUM(D19:D21)</f>
        <v>0</v>
      </c>
      <c r="F22" s="3"/>
    </row>
    <row r="23" spans="1:6">
      <c r="A23" s="3">
        <v>22</v>
      </c>
      <c r="B23" s="3">
        <v>0</v>
      </c>
      <c r="C23" s="3">
        <f>SUM(B20:B22)</f>
        <v>14</v>
      </c>
      <c r="D23" s="3">
        <v>0</v>
      </c>
      <c r="E23" s="3">
        <f>SUM(D20:D22)</f>
        <v>13.3</v>
      </c>
      <c r="F23" s="3">
        <f>C23/E23</f>
        <v>1.05263157894737</v>
      </c>
    </row>
    <row r="24" spans="1:6">
      <c r="A24" s="3">
        <v>23</v>
      </c>
      <c r="B24">
        <v>0</v>
      </c>
      <c r="C24" s="3">
        <f>SUM(B21:B23)</f>
        <v>14</v>
      </c>
      <c r="D24">
        <v>0</v>
      </c>
      <c r="E24" s="3">
        <f>SUM(D21:D23)</f>
        <v>13.3</v>
      </c>
      <c r="F24" s="3">
        <f>C24/E24</f>
        <v>1.05263157894737</v>
      </c>
    </row>
    <row r="25" spans="1:6">
      <c r="A25" s="3">
        <v>24</v>
      </c>
      <c r="B25">
        <v>0</v>
      </c>
      <c r="C25" s="3">
        <f>SUM(B22:B24)</f>
        <v>14</v>
      </c>
      <c r="D25">
        <v>0</v>
      </c>
      <c r="E25" s="3">
        <f>SUM(D22:D24)</f>
        <v>13.3</v>
      </c>
      <c r="F25" s="3">
        <f>C25/E25</f>
        <v>1.05263157894737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EF152-550E-48F4-9F27-F94F2D7CA7F7}">
  <sheetViews>
    <sheetView workbookViewId="0">
      <selection pane="topLeft" activeCell="K16" sqref="K16"/>
    </sheetView>
  </sheetViews>
  <sheetFormatPr baseColWidth="8" defaultRowHeight="15"/>
  <sheetData>
    <row r="1" spans="1:26">
      <c r="A1" s="1" t="s">
        <v>17</v>
      </c>
      <c r="B1" s="1" t="s">
        <v>18</v>
      </c>
      <c r="C1" s="1"/>
      <c r="D1" s="1">
        <v>26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 t="s">
        <v>17</v>
      </c>
      <c r="B2" s="1" t="s">
        <v>19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>
        <v>7</v>
      </c>
      <c r="T2" s="1"/>
      <c r="U2" s="1"/>
      <c r="V2" s="1"/>
      <c r="W2" s="1">
        <v>14</v>
      </c>
      <c r="X2" s="1"/>
      <c r="Y2" s="1"/>
      <c r="Z2" s="1"/>
    </row>
    <row r="3" spans="1:26">
      <c r="A3" s="1" t="s">
        <v>17</v>
      </c>
      <c r="C3" s="0">
        <f>C1+C2</f>
        <v>0</v>
      </c>
      <c r="D3" s="1">
        <f>D1+D2</f>
        <v>26</v>
      </c>
      <c r="E3" s="0">
        <f>E1+E2</f>
        <v>0</v>
      </c>
      <c r="F3" s="0">
        <f>F1+F2</f>
        <v>0</v>
      </c>
      <c r="G3" s="0">
        <f>G1+G2</f>
        <v>0</v>
      </c>
      <c r="H3" s="0">
        <f>H1+H2</f>
        <v>0</v>
      </c>
      <c r="I3" s="0">
        <f>I1+I2</f>
        <v>0</v>
      </c>
      <c r="J3" s="0">
        <f>J1+J2</f>
        <v>0</v>
      </c>
      <c r="K3" s="0">
        <f>K1+K2</f>
        <v>0</v>
      </c>
      <c r="L3" s="0">
        <f>L1+L2</f>
        <v>0</v>
      </c>
      <c r="M3" s="0">
        <f>M1+M2</f>
        <v>0</v>
      </c>
      <c r="N3" s="0">
        <f>N1+N2</f>
        <v>0</v>
      </c>
      <c r="O3" s="0">
        <f>O1+O2</f>
        <v>0</v>
      </c>
      <c r="P3" s="0">
        <f>P1+P2</f>
        <v>0</v>
      </c>
      <c r="Q3" s="0">
        <f>Q1+Q2</f>
        <v>0</v>
      </c>
      <c r="R3" s="0">
        <f>R1+R2</f>
        <v>0</v>
      </c>
      <c r="S3" s="1">
        <f>S1+S2</f>
        <v>7</v>
      </c>
      <c r="T3" s="0">
        <f>T1+T2</f>
        <v>0</v>
      </c>
      <c r="U3" s="0">
        <f>U1+U2</f>
        <v>0</v>
      </c>
      <c r="V3" s="0">
        <f>V1+V2</f>
        <v>0</v>
      </c>
      <c r="W3" s="1">
        <f>W1+W2</f>
        <v>14</v>
      </c>
      <c r="X3" s="0">
        <f>X1+X2</f>
        <v>0</v>
      </c>
      <c r="Y3" s="0">
        <f>Y1+Y2</f>
        <v>0</v>
      </c>
      <c r="Z3" s="0">
        <f>Z1+Z2</f>
        <v>0</v>
      </c>
    </row>
    <row r="4" spans="1:26">
      <c r="A4" s="1" t="s">
        <v>17</v>
      </c>
      <c r="B4" s="1" t="s">
        <v>18</v>
      </c>
      <c r="C4" s="1"/>
      <c r="D4" s="1">
        <v>14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17</v>
      </c>
      <c r="B5" s="1" t="s">
        <v>19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>
        <v>15</v>
      </c>
      <c r="T5" s="1"/>
      <c r="U5" s="1"/>
      <c r="V5" s="1"/>
      <c r="W5" s="1">
        <v>13.3</v>
      </c>
      <c r="X5" s="1"/>
      <c r="Y5" s="1"/>
      <c r="Z5" s="1"/>
    </row>
    <row r="6" spans="1:26">
      <c r="A6" s="1" t="s">
        <v>17</v>
      </c>
      <c r="C6" s="0">
        <f>SUM(C4:C5)</f>
        <v>0</v>
      </c>
      <c r="D6" s="0">
        <f>SUM(D4:D5)</f>
        <v>14</v>
      </c>
      <c r="E6" s="0">
        <f>SUM(E4:E5)</f>
        <v>0</v>
      </c>
      <c r="F6" s="0">
        <f>SUM(F4:F5)</f>
        <v>0</v>
      </c>
      <c r="G6" s="0">
        <f>SUM(G4:G5)</f>
        <v>0</v>
      </c>
      <c r="H6" s="0">
        <f>SUM(H4:H5)</f>
        <v>0</v>
      </c>
      <c r="I6" s="0">
        <f>SUM(I4:I5)</f>
        <v>0</v>
      </c>
      <c r="J6" s="0">
        <f>SUM(J4:J5)</f>
        <v>0</v>
      </c>
      <c r="K6" s="0">
        <f>SUM(K4:K5)</f>
        <v>0</v>
      </c>
      <c r="L6" s="0">
        <f>SUM(L4:L5)</f>
        <v>0</v>
      </c>
      <c r="M6" s="0">
        <f>SUM(M4:M5)</f>
        <v>0</v>
      </c>
      <c r="N6" s="0">
        <f>SUM(N4:N5)</f>
        <v>0</v>
      </c>
      <c r="O6" s="0">
        <f>SUM(O4:O5)</f>
        <v>0</v>
      </c>
      <c r="P6" s="0">
        <f>SUM(P4:P5)</f>
        <v>0</v>
      </c>
      <c r="Q6" s="0">
        <f>SUM(Q4:Q5)</f>
        <v>0</v>
      </c>
      <c r="R6" s="0">
        <f>SUM(R4:R5)</f>
        <v>0</v>
      </c>
      <c r="S6" s="0">
        <f>SUM(S4:S5)</f>
        <v>15</v>
      </c>
      <c r="T6" s="0">
        <f>SUM(T4:T5)</f>
        <v>0</v>
      </c>
      <c r="U6" s="0">
        <f>SUM(U4:U5)</f>
        <v>0</v>
      </c>
      <c r="V6" s="0">
        <f>SUM(V4:V5)</f>
        <v>0</v>
      </c>
      <c r="W6" s="0">
        <f>SUM(W4:W5)</f>
        <v>13.3</v>
      </c>
      <c r="X6" s="0">
        <f>SUM(X4:X5)</f>
        <v>0</v>
      </c>
      <c r="Y6" s="0">
        <f>SUM(Y4:Y5)</f>
        <v>0</v>
      </c>
      <c r="Z6" s="0">
        <f>SUM(Z4:Z5)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2003 Expected</vt:lpstr>
      <vt:lpstr>2023 Actual</vt:lpstr>
      <vt:lpstr>2004 Expected</vt:lpstr>
      <vt:lpstr>2004 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Shepherd</dc:creator>
  <cp:lastModifiedBy>Alex Shepherd</cp:lastModifiedBy>
  <dcterms:created xsi:type="dcterms:W3CDTF">2025-11-01T19:10:26Z</dcterms:created>
  <dcterms:modified xsi:type="dcterms:W3CDTF">2025-12-03T21:58:16Z</dcterms:modified>
</cp:coreProperties>
</file>