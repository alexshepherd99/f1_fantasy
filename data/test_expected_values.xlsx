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s\Dropbox\Dev\f1_fantasy\data\"/>
    </mc:Choice>
  </mc:AlternateContent>
  <xr:revisionPtr revIDLastSave="0" documentId="13_ncr:1_{FCB9AC12-7F76-439A-8D6E-86FF8730B62E}" xr6:coauthVersionLast="47" xr6:coauthVersionMax="47" xr10:uidLastSave="{00000000-0000-0000-0000-000000000000}"/>
  <bookViews>
    <workbookView xWindow="-120" yWindow="-120" windowWidth="29040" windowHeight="15840" activeTab="2" xr2:uid="{B8F73BD9-0904-4916-81F8-0E4EA1678C10}"/>
  </bookViews>
  <sheets>
    <sheet name="2003 Expected" sheetId="2" r:id="rId1"/>
    <sheet name="2023 Actual" sheetId="1" r:id="rId2"/>
    <sheet name="2004 Expected" sheetId="3" r:id="rId3"/>
    <sheet name="2004 Actual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3" l="1"/>
  <c r="F24" i="3"/>
  <c r="C25" i="3"/>
  <c r="C24" i="3"/>
  <c r="D2" i="3" a="1"/>
  <c r="D2" i="3" s="1"/>
  <c r="B2" i="3" a="1"/>
  <c r="B2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C6" i="4"/>
  <c r="X3" i="4"/>
  <c r="Y3" i="4"/>
  <c r="Z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C3" i="4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" i="2"/>
  <c r="R4" i="2"/>
  <c r="R5" i="2"/>
  <c r="R6" i="2"/>
  <c r="R7" i="2"/>
  <c r="R8" i="2" s="1"/>
  <c r="R9" i="2" s="1"/>
  <c r="R10" i="2" s="1"/>
  <c r="R11" i="2" s="1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3" i="2"/>
  <c r="R2" i="2"/>
  <c r="P2" i="2" a="1"/>
  <c r="P2" i="2" s="1"/>
  <c r="O4" i="2"/>
  <c r="O5" i="2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3" i="2"/>
  <c r="N2" i="2" a="1"/>
  <c r="N2" i="2" s="1"/>
  <c r="M12" i="2"/>
  <c r="M13" i="2"/>
  <c r="M19" i="2"/>
  <c r="M20" i="2"/>
  <c r="M21" i="2"/>
  <c r="M22" i="2"/>
  <c r="M23" i="2"/>
  <c r="L4" i="2"/>
  <c r="L5" i="2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3" i="2"/>
  <c r="L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" i="2"/>
  <c r="F4" i="2"/>
  <c r="F5" i="2"/>
  <c r="F6" i="2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3" i="2"/>
  <c r="F2" i="2"/>
  <c r="J2" i="2" a="1"/>
  <c r="J2" i="2" s="1"/>
  <c r="D2" i="2" a="1"/>
  <c r="D2" i="2" s="1"/>
  <c r="H2" i="2" a="1"/>
  <c r="H2" i="2" s="1"/>
  <c r="I3" i="2" s="1"/>
  <c r="B2" i="2" a="1"/>
  <c r="B2" i="2" s="1"/>
  <c r="C3" i="2" s="1"/>
  <c r="D25" i="3" l="1"/>
  <c r="D9" i="3"/>
  <c r="D23" i="3"/>
  <c r="D19" i="3"/>
  <c r="D15" i="3"/>
  <c r="D11" i="3"/>
  <c r="D7" i="3"/>
  <c r="D3" i="3"/>
  <c r="D21" i="3"/>
  <c r="D17" i="3"/>
  <c r="D13" i="3"/>
  <c r="D5" i="3"/>
  <c r="D24" i="3"/>
  <c r="D20" i="3"/>
  <c r="D16" i="3"/>
  <c r="D12" i="3"/>
  <c r="D8" i="3"/>
  <c r="D4" i="3"/>
  <c r="D22" i="3"/>
  <c r="D18" i="3"/>
  <c r="D14" i="3"/>
  <c r="D10" i="3"/>
  <c r="D6" i="3"/>
  <c r="B21" i="3"/>
  <c r="B17" i="3"/>
  <c r="B5" i="3"/>
  <c r="B24" i="3"/>
  <c r="B20" i="3"/>
  <c r="B16" i="3"/>
  <c r="B12" i="3"/>
  <c r="B8" i="3"/>
  <c r="B4" i="3"/>
  <c r="B9" i="3"/>
  <c r="B23" i="3"/>
  <c r="B19" i="3"/>
  <c r="B15" i="3"/>
  <c r="B11" i="3"/>
  <c r="B7" i="3"/>
  <c r="B3" i="3"/>
  <c r="B25" i="3"/>
  <c r="B13" i="3"/>
  <c r="B22" i="3"/>
  <c r="B18" i="3"/>
  <c r="B14" i="3"/>
  <c r="B10" i="3"/>
  <c r="B6" i="3"/>
  <c r="C3" i="3"/>
  <c r="P21" i="2"/>
  <c r="P17" i="2"/>
  <c r="P13" i="2"/>
  <c r="P9" i="2"/>
  <c r="P5" i="2"/>
  <c r="P20" i="2"/>
  <c r="P16" i="2"/>
  <c r="P12" i="2"/>
  <c r="P8" i="2"/>
  <c r="P4" i="2"/>
  <c r="P23" i="2"/>
  <c r="P19" i="2"/>
  <c r="P15" i="2"/>
  <c r="P11" i="2"/>
  <c r="P7" i="2"/>
  <c r="P3" i="2"/>
  <c r="P22" i="2"/>
  <c r="P18" i="2"/>
  <c r="P14" i="2"/>
  <c r="P10" i="2"/>
  <c r="P6" i="2"/>
  <c r="N21" i="2"/>
  <c r="N17" i="2"/>
  <c r="N13" i="2"/>
  <c r="N9" i="2"/>
  <c r="N5" i="2"/>
  <c r="N20" i="2"/>
  <c r="N16" i="2"/>
  <c r="N12" i="2"/>
  <c r="N8" i="2"/>
  <c r="N4" i="2"/>
  <c r="N23" i="2"/>
  <c r="N19" i="2"/>
  <c r="N15" i="2"/>
  <c r="N11" i="2"/>
  <c r="N7" i="2"/>
  <c r="N3" i="2"/>
  <c r="N22" i="2"/>
  <c r="N18" i="2"/>
  <c r="N14" i="2"/>
  <c r="N10" i="2"/>
  <c r="N6" i="2"/>
  <c r="J17" i="2"/>
  <c r="J9" i="2"/>
  <c r="J5" i="2"/>
  <c r="J20" i="2"/>
  <c r="J12" i="2"/>
  <c r="J23" i="2"/>
  <c r="J19" i="2"/>
  <c r="J15" i="2"/>
  <c r="J11" i="2"/>
  <c r="J7" i="2"/>
  <c r="J3" i="2"/>
  <c r="J21" i="2"/>
  <c r="J13" i="2"/>
  <c r="J16" i="2"/>
  <c r="J8" i="2"/>
  <c r="J4" i="2"/>
  <c r="J22" i="2"/>
  <c r="J18" i="2"/>
  <c r="J14" i="2"/>
  <c r="J10" i="2"/>
  <c r="J6" i="2"/>
  <c r="D21" i="2"/>
  <c r="D13" i="2"/>
  <c r="D5" i="2"/>
  <c r="D16" i="2"/>
  <c r="D4" i="2"/>
  <c r="D23" i="2"/>
  <c r="D19" i="2"/>
  <c r="D15" i="2"/>
  <c r="D11" i="2"/>
  <c r="D7" i="2"/>
  <c r="D3" i="2"/>
  <c r="D17" i="2"/>
  <c r="D9" i="2"/>
  <c r="D20" i="2"/>
  <c r="D12" i="2"/>
  <c r="D8" i="2"/>
  <c r="D22" i="2"/>
  <c r="D18" i="2"/>
  <c r="D14" i="2"/>
  <c r="D10" i="2"/>
  <c r="D6" i="2"/>
  <c r="H13" i="2"/>
  <c r="H5" i="2"/>
  <c r="H16" i="2"/>
  <c r="H12" i="2"/>
  <c r="H8" i="2"/>
  <c r="H4" i="2"/>
  <c r="H23" i="2"/>
  <c r="H19" i="2"/>
  <c r="H15" i="2"/>
  <c r="H11" i="2"/>
  <c r="H7" i="2"/>
  <c r="H3" i="2"/>
  <c r="I4" i="2" s="1"/>
  <c r="H21" i="2"/>
  <c r="H17" i="2"/>
  <c r="H9" i="2"/>
  <c r="H20" i="2"/>
  <c r="H22" i="2"/>
  <c r="H18" i="2"/>
  <c r="H14" i="2"/>
  <c r="H10" i="2"/>
  <c r="H6" i="2"/>
  <c r="B21" i="2"/>
  <c r="B17" i="2"/>
  <c r="B13" i="2"/>
  <c r="B9" i="2"/>
  <c r="B5" i="2"/>
  <c r="B20" i="2"/>
  <c r="B16" i="2"/>
  <c r="B12" i="2"/>
  <c r="B8" i="2"/>
  <c r="B4" i="2"/>
  <c r="B23" i="2"/>
  <c r="B19" i="2"/>
  <c r="B15" i="2"/>
  <c r="B11" i="2"/>
  <c r="B7" i="2"/>
  <c r="B3" i="2"/>
  <c r="C4" i="2" s="1"/>
  <c r="B22" i="2"/>
  <c r="B18" i="2"/>
  <c r="B14" i="2"/>
  <c r="B10" i="2"/>
  <c r="B6" i="2"/>
  <c r="C4" i="3" l="1"/>
  <c r="G3" i="3"/>
  <c r="I5" i="2"/>
  <c r="C5" i="2"/>
  <c r="C5" i="3" l="1"/>
  <c r="I6" i="2"/>
  <c r="I7" i="2"/>
  <c r="C6" i="2"/>
  <c r="C6" i="3" l="1"/>
  <c r="C7" i="2"/>
  <c r="I8" i="2"/>
  <c r="C7" i="3" l="1"/>
  <c r="I9" i="2"/>
  <c r="C8" i="2"/>
  <c r="C8" i="3" l="1"/>
  <c r="C9" i="2"/>
  <c r="I10" i="2"/>
  <c r="C9" i="3" l="1"/>
  <c r="I11" i="2"/>
  <c r="C10" i="2"/>
  <c r="C10" i="3" l="1"/>
  <c r="C11" i="2"/>
  <c r="I12" i="2"/>
  <c r="C11" i="3" l="1"/>
  <c r="I13" i="2"/>
  <c r="C12" i="2"/>
  <c r="C12" i="3" l="1"/>
  <c r="C13" i="2"/>
  <c r="I14" i="2"/>
  <c r="C13" i="3" l="1"/>
  <c r="I15" i="2"/>
  <c r="C14" i="2"/>
  <c r="C14" i="3" l="1"/>
  <c r="C15" i="2"/>
  <c r="I16" i="2"/>
  <c r="C15" i="3" l="1"/>
  <c r="C16" i="2"/>
  <c r="I17" i="2"/>
  <c r="C16" i="3" l="1"/>
  <c r="I18" i="2"/>
  <c r="C17" i="2"/>
  <c r="C17" i="3" l="1"/>
  <c r="C18" i="2"/>
  <c r="I19" i="2"/>
  <c r="C18" i="3" l="1"/>
  <c r="I20" i="2"/>
  <c r="C19" i="2"/>
  <c r="C19" i="3" l="1"/>
  <c r="G18" i="3"/>
  <c r="C20" i="2"/>
  <c r="I21" i="2"/>
  <c r="C20" i="3" l="1"/>
  <c r="I22" i="2"/>
  <c r="C21" i="2"/>
  <c r="C21" i="3" l="1"/>
  <c r="C22" i="2"/>
  <c r="I23" i="2"/>
  <c r="C22" i="3" l="1"/>
  <c r="C23" i="2"/>
  <c r="C23" i="3" l="1"/>
  <c r="G22" i="3"/>
</calcChain>
</file>

<file path=xl/sharedStrings.xml><?xml version="1.0" encoding="utf-8"?>
<sst xmlns="http://schemas.openxmlformats.org/spreadsheetml/2006/main" count="46" uniqueCount="32">
  <si>
    <t>VER</t>
  </si>
  <si>
    <t>RED</t>
  </si>
  <si>
    <t>RIC</t>
  </si>
  <si>
    <t>ALT</t>
  </si>
  <si>
    <t>VER-RED-2003-points</t>
  </si>
  <si>
    <t>VER-RED-2003-points-cum</t>
  </si>
  <si>
    <t>Race</t>
  </si>
  <si>
    <t>RIC-ALT-2003-points</t>
  </si>
  <si>
    <t>RIC-ALT-2003-points-cum</t>
  </si>
  <si>
    <t>VER-RED-2003-ppm</t>
  </si>
  <si>
    <t>VER-RED-2003-price</t>
  </si>
  <si>
    <t>RIC-ALT-2003-price</t>
  </si>
  <si>
    <t>VER-RED-2003-raced</t>
  </si>
  <si>
    <t>VER-RED-2003-raced-cum</t>
  </si>
  <si>
    <t>RIC-ALT-2003-raced</t>
  </si>
  <si>
    <t>RIC-ALT-2003-raced-cum</t>
  </si>
  <si>
    <t>RIC-ALT-2003-ppm</t>
  </si>
  <si>
    <t>RED-2003-points</t>
  </si>
  <si>
    <t>RED-2003-points-cum</t>
  </si>
  <si>
    <t>RED-2003-price</t>
  </si>
  <si>
    <t>RED-2003-raced</t>
  </si>
  <si>
    <t>RED-2003-raced-cum</t>
  </si>
  <si>
    <t>RED-2003-ppm</t>
  </si>
  <si>
    <t>BEA</t>
  </si>
  <si>
    <t>FER</t>
  </si>
  <si>
    <t>HAA</t>
  </si>
  <si>
    <t>BEA-2003-points-cum</t>
  </si>
  <si>
    <t>BEA-2003-points-total</t>
  </si>
  <si>
    <t>BEA-2003-price-total</t>
  </si>
  <si>
    <t>BEA-2003-raced</t>
  </si>
  <si>
    <t>BEA-2003-raced-cum</t>
  </si>
  <si>
    <t>BEA-2003-ppm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</si>
</sst>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name val="Inte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E5DB-5BF7-41CE-BB16-C410E9F3C59E}">
  <dimension ref="A1:S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G23"/>
    </sheetView>
  </sheetViews>
  <sheetFormatPr defaultRowHeight="12.75"/>
  <cols>
    <col min="1" max="1" width="4.7109375" style="3" bestFit="1" customWidth="1"/>
    <col min="2" max="2" width="17.85546875" style="3" bestFit="1" customWidth="1"/>
    <col min="3" max="3" width="21.85546875" style="3" bestFit="1" customWidth="1"/>
    <col min="4" max="4" width="16.7109375" style="3" bestFit="1" customWidth="1"/>
    <col min="5" max="5" width="17.28515625" style="3" bestFit="1" customWidth="1"/>
    <col min="6" max="6" width="21.140625" style="3" bestFit="1" customWidth="1"/>
    <col min="7" max="7" width="16.140625" style="3" bestFit="1" customWidth="1"/>
    <col min="8" max="8" width="17" style="3" bestFit="1" customWidth="1"/>
    <col min="9" max="9" width="21" style="3" bestFit="1" customWidth="1"/>
    <col min="10" max="10" width="16" style="3" bestFit="1" customWidth="1"/>
    <col min="11" max="11" width="16.42578125" style="3" bestFit="1" customWidth="1"/>
    <col min="12" max="12" width="20.42578125" style="3" bestFit="1" customWidth="1"/>
    <col min="13" max="13" width="15.42578125" style="3" bestFit="1" customWidth="1"/>
    <col min="14" max="14" width="14.140625" style="3" bestFit="1" customWidth="1"/>
    <col min="15" max="15" width="18.140625" style="3" bestFit="1" customWidth="1"/>
    <col min="16" max="16" width="13.140625" style="3" bestFit="1" customWidth="1"/>
    <col min="17" max="17" width="13.5703125" style="3" bestFit="1" customWidth="1"/>
    <col min="18" max="18" width="17.5703125" style="3" bestFit="1" customWidth="1"/>
    <col min="19" max="19" width="12.7109375" style="3" bestFit="1" customWidth="1"/>
    <col min="20" max="16384" width="9.140625" style="3"/>
  </cols>
  <sheetData>
    <row r="1" spans="1:19" s="4" customFormat="1">
      <c r="A1" s="4" t="s">
        <v>6</v>
      </c>
      <c r="B1" s="4" t="s">
        <v>4</v>
      </c>
      <c r="C1" s="4" t="s">
        <v>5</v>
      </c>
      <c r="D1" s="4" t="s">
        <v>10</v>
      </c>
      <c r="E1" s="4" t="s">
        <v>12</v>
      </c>
      <c r="F1" s="4" t="s">
        <v>13</v>
      </c>
      <c r="G1" s="4" t="s">
        <v>9</v>
      </c>
      <c r="H1" s="4" t="s">
        <v>7</v>
      </c>
      <c r="I1" s="4" t="s">
        <v>8</v>
      </c>
      <c r="J1" s="4" t="s">
        <v>11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</row>
    <row r="2" spans="1:19">
      <c r="A2" s="3">
        <v>1</v>
      </c>
      <c r="B2" s="3">
        <f t="array" ref="B2:B23">TRANSPOSE('2023 Actual'!C1:X1)</f>
        <v>35</v>
      </c>
      <c r="C2" s="3">
        <v>0</v>
      </c>
      <c r="D2" s="3">
        <f t="array" ref="D2:D23">TRANSPOSE('2023 Actual'!C2:X2)</f>
        <v>26.9</v>
      </c>
      <c r="E2" s="3">
        <v>1</v>
      </c>
      <c r="F2" s="3">
        <f>E2</f>
        <v>1</v>
      </c>
      <c r="G2" s="3">
        <f>C2/D2/F2</f>
        <v>0</v>
      </c>
      <c r="H2" s="3">
        <f t="array" ref="H2:H23">TRANSPOSE('2023 Actual'!C3:X3)</f>
        <v>0</v>
      </c>
      <c r="I2" s="3">
        <v>0</v>
      </c>
      <c r="J2" s="3">
        <f t="array" ref="J2:J23">TRANSPOSE('2023 Actual'!C4:X4)</f>
        <v>0</v>
      </c>
      <c r="K2" s="3">
        <v>0</v>
      </c>
      <c r="L2" s="3">
        <f>K2</f>
        <v>0</v>
      </c>
      <c r="N2" s="3">
        <f t="array" ref="N2:N23">TRANSPOSE('2023 Actual'!C5:X5)</f>
        <v>78</v>
      </c>
      <c r="O2" s="3">
        <v>0</v>
      </c>
      <c r="P2" s="3">
        <f t="array" ref="P2:P23">TRANSPOSE('2023 Actual'!C6:X6)</f>
        <v>27.2</v>
      </c>
      <c r="Q2" s="3">
        <v>1</v>
      </c>
      <c r="R2" s="3">
        <f>Q2</f>
        <v>1</v>
      </c>
      <c r="S2" s="3">
        <f>O2/P2/R2</f>
        <v>0</v>
      </c>
    </row>
    <row r="3" spans="1:19">
      <c r="A3" s="3">
        <v>2</v>
      </c>
      <c r="B3" s="3">
        <v>61</v>
      </c>
      <c r="C3" s="3">
        <f>C2+B2</f>
        <v>35</v>
      </c>
      <c r="D3" s="3">
        <v>27</v>
      </c>
      <c r="E3" s="3">
        <v>1</v>
      </c>
      <c r="F3" s="3">
        <f>F2+E3</f>
        <v>2</v>
      </c>
      <c r="G3" s="3">
        <f t="shared" ref="G3:G23" si="0">C3/D3/F3</f>
        <v>0.64814814814814814</v>
      </c>
      <c r="H3" s="3">
        <v>0</v>
      </c>
      <c r="I3" s="3">
        <f>H2+I2</f>
        <v>0</v>
      </c>
      <c r="J3" s="3">
        <v>0</v>
      </c>
      <c r="K3" s="3">
        <v>0</v>
      </c>
      <c r="L3" s="3">
        <f>L2+K3</f>
        <v>0</v>
      </c>
      <c r="N3" s="3">
        <v>95</v>
      </c>
      <c r="O3" s="3">
        <f>N2+O2</f>
        <v>78</v>
      </c>
      <c r="P3" s="3">
        <v>27.3</v>
      </c>
      <c r="Q3" s="3">
        <v>1</v>
      </c>
      <c r="R3" s="3">
        <f>R2+Q3</f>
        <v>2</v>
      </c>
      <c r="S3" s="3">
        <f t="shared" ref="S3:S23" si="1">O3/P3/R3</f>
        <v>1.4285714285714286</v>
      </c>
    </row>
    <row r="4" spans="1:19">
      <c r="A4" s="3">
        <v>3</v>
      </c>
      <c r="B4" s="3">
        <v>36</v>
      </c>
      <c r="C4" s="3">
        <f t="shared" ref="C4:C23" si="2">C3+B3</f>
        <v>96</v>
      </c>
      <c r="D4" s="3">
        <v>27.1</v>
      </c>
      <c r="E4" s="3">
        <v>1</v>
      </c>
      <c r="F4" s="3">
        <f t="shared" ref="F4:F23" si="3">F3+E4</f>
        <v>3</v>
      </c>
      <c r="G4" s="3">
        <f t="shared" si="0"/>
        <v>1.1808118081180812</v>
      </c>
      <c r="H4" s="3">
        <v>0</v>
      </c>
      <c r="I4" s="3">
        <f t="shared" ref="I4:I23" si="4">H3+I3</f>
        <v>0</v>
      </c>
      <c r="J4" s="3">
        <v>0</v>
      </c>
      <c r="K4" s="3">
        <v>0</v>
      </c>
      <c r="L4" s="3">
        <f t="shared" ref="L4:L23" si="5">L3+K4</f>
        <v>0</v>
      </c>
      <c r="N4" s="3">
        <v>98</v>
      </c>
      <c r="O4" s="3">
        <f t="shared" ref="O4:O23" si="6">N3+O3</f>
        <v>173</v>
      </c>
      <c r="P4" s="3">
        <v>27.4</v>
      </c>
      <c r="Q4" s="3">
        <v>1</v>
      </c>
      <c r="R4" s="3">
        <f t="shared" ref="R4:R23" si="7">R3+Q4</f>
        <v>3</v>
      </c>
      <c r="S4" s="3">
        <f t="shared" si="1"/>
        <v>2.1046228710462289</v>
      </c>
    </row>
    <row r="5" spans="1:19">
      <c r="A5" s="3">
        <v>4</v>
      </c>
      <c r="B5" s="3">
        <v>37</v>
      </c>
      <c r="C5" s="3">
        <f t="shared" si="2"/>
        <v>132</v>
      </c>
      <c r="D5" s="3">
        <v>27.2</v>
      </c>
      <c r="E5" s="3">
        <v>1</v>
      </c>
      <c r="F5" s="3">
        <f t="shared" si="3"/>
        <v>4</v>
      </c>
      <c r="G5" s="3">
        <f t="shared" si="0"/>
        <v>1.2132352941176472</v>
      </c>
      <c r="H5" s="3">
        <v>0</v>
      </c>
      <c r="I5" s="3">
        <f t="shared" si="4"/>
        <v>0</v>
      </c>
      <c r="J5" s="3">
        <v>0</v>
      </c>
      <c r="K5" s="3">
        <v>0</v>
      </c>
      <c r="L5" s="3">
        <f t="shared" si="5"/>
        <v>0</v>
      </c>
      <c r="N5" s="3">
        <v>108</v>
      </c>
      <c r="O5" s="3">
        <f t="shared" si="6"/>
        <v>271</v>
      </c>
      <c r="P5" s="3">
        <v>27.5</v>
      </c>
      <c r="Q5" s="3">
        <v>1</v>
      </c>
      <c r="R5" s="3">
        <f t="shared" si="7"/>
        <v>4</v>
      </c>
      <c r="S5" s="3">
        <f t="shared" si="1"/>
        <v>2.4636363636363638</v>
      </c>
    </row>
    <row r="6" spans="1:19">
      <c r="A6" s="3">
        <v>5</v>
      </c>
      <c r="B6" s="3">
        <v>64</v>
      </c>
      <c r="C6" s="3">
        <f t="shared" si="2"/>
        <v>169</v>
      </c>
      <c r="D6" s="3">
        <v>27.3</v>
      </c>
      <c r="E6" s="3">
        <v>1</v>
      </c>
      <c r="F6" s="3">
        <f t="shared" si="3"/>
        <v>5</v>
      </c>
      <c r="G6" s="3">
        <f t="shared" si="0"/>
        <v>1.2380952380952381</v>
      </c>
      <c r="H6" s="3">
        <v>0</v>
      </c>
      <c r="I6" s="3">
        <f t="shared" si="4"/>
        <v>0</v>
      </c>
      <c r="J6" s="3">
        <v>0</v>
      </c>
      <c r="K6" s="3">
        <v>0</v>
      </c>
      <c r="L6" s="3">
        <f t="shared" si="5"/>
        <v>0</v>
      </c>
      <c r="N6" s="3">
        <v>97</v>
      </c>
      <c r="O6" s="3">
        <f t="shared" si="6"/>
        <v>379</v>
      </c>
      <c r="P6" s="3">
        <v>27.6</v>
      </c>
      <c r="Q6" s="3">
        <v>1</v>
      </c>
      <c r="R6" s="3">
        <f t="shared" si="7"/>
        <v>5</v>
      </c>
      <c r="S6" s="3">
        <f t="shared" si="1"/>
        <v>2.7463768115942027</v>
      </c>
    </row>
    <row r="7" spans="1:19">
      <c r="A7" s="3">
        <v>6</v>
      </c>
      <c r="B7" s="3">
        <v>35</v>
      </c>
      <c r="C7" s="3">
        <f t="shared" si="2"/>
        <v>233</v>
      </c>
      <c r="D7" s="3">
        <v>27.4</v>
      </c>
      <c r="E7" s="3">
        <v>1</v>
      </c>
      <c r="F7" s="3">
        <f t="shared" si="3"/>
        <v>6</v>
      </c>
      <c r="G7" s="3">
        <f t="shared" si="0"/>
        <v>1.4172749391727495</v>
      </c>
      <c r="H7" s="3">
        <v>0</v>
      </c>
      <c r="I7" s="3">
        <f t="shared" si="4"/>
        <v>0</v>
      </c>
      <c r="J7" s="3">
        <v>0</v>
      </c>
      <c r="K7" s="3">
        <v>0</v>
      </c>
      <c r="L7" s="3">
        <f t="shared" si="5"/>
        <v>0</v>
      </c>
      <c r="N7" s="3">
        <v>63</v>
      </c>
      <c r="O7" s="3">
        <f t="shared" si="6"/>
        <v>476</v>
      </c>
      <c r="P7" s="3">
        <v>27.7</v>
      </c>
      <c r="Q7" s="3">
        <v>1</v>
      </c>
      <c r="R7" s="3">
        <f t="shared" si="7"/>
        <v>6</v>
      </c>
      <c r="S7" s="3">
        <f t="shared" si="1"/>
        <v>2.8640192539109504</v>
      </c>
    </row>
    <row r="8" spans="1:19">
      <c r="A8" s="3">
        <v>7</v>
      </c>
      <c r="B8" s="3">
        <v>46</v>
      </c>
      <c r="C8" s="3">
        <f t="shared" si="2"/>
        <v>268</v>
      </c>
      <c r="D8" s="3">
        <v>27.5</v>
      </c>
      <c r="E8" s="3">
        <v>1</v>
      </c>
      <c r="F8" s="3">
        <f t="shared" si="3"/>
        <v>7</v>
      </c>
      <c r="G8" s="3">
        <f t="shared" si="0"/>
        <v>1.3922077922077922</v>
      </c>
      <c r="H8" s="3">
        <v>0</v>
      </c>
      <c r="I8" s="3">
        <f t="shared" si="4"/>
        <v>0</v>
      </c>
      <c r="J8" s="3">
        <v>0</v>
      </c>
      <c r="K8" s="3">
        <v>0</v>
      </c>
      <c r="L8" s="3">
        <f t="shared" si="5"/>
        <v>0</v>
      </c>
      <c r="N8" s="3">
        <v>96</v>
      </c>
      <c r="O8" s="3">
        <f t="shared" si="6"/>
        <v>539</v>
      </c>
      <c r="P8" s="3">
        <v>27.8</v>
      </c>
      <c r="Q8" s="3">
        <v>1</v>
      </c>
      <c r="R8" s="3">
        <f t="shared" si="7"/>
        <v>7</v>
      </c>
      <c r="S8" s="3">
        <f t="shared" si="1"/>
        <v>2.7697841726618706</v>
      </c>
    </row>
    <row r="9" spans="1:19">
      <c r="A9" s="3">
        <v>8</v>
      </c>
      <c r="B9" s="3">
        <v>35</v>
      </c>
      <c r="C9" s="3">
        <f t="shared" si="2"/>
        <v>314</v>
      </c>
      <c r="D9" s="3">
        <v>27.6</v>
      </c>
      <c r="E9" s="3">
        <v>1</v>
      </c>
      <c r="F9" s="3">
        <f t="shared" si="3"/>
        <v>8</v>
      </c>
      <c r="G9" s="3">
        <f t="shared" si="0"/>
        <v>1.4221014492753623</v>
      </c>
      <c r="H9" s="3">
        <v>0</v>
      </c>
      <c r="I9" s="3">
        <f t="shared" si="4"/>
        <v>0</v>
      </c>
      <c r="J9" s="3">
        <v>0</v>
      </c>
      <c r="K9" s="3">
        <v>0</v>
      </c>
      <c r="L9" s="3">
        <f t="shared" si="5"/>
        <v>0</v>
      </c>
      <c r="N9" s="3">
        <v>86</v>
      </c>
      <c r="O9" s="3">
        <f t="shared" si="6"/>
        <v>635</v>
      </c>
      <c r="P9" s="3">
        <v>27.9</v>
      </c>
      <c r="Q9" s="3">
        <v>1</v>
      </c>
      <c r="R9" s="3">
        <f t="shared" si="7"/>
        <v>8</v>
      </c>
      <c r="S9" s="3">
        <f t="shared" si="1"/>
        <v>2.8449820788530467</v>
      </c>
    </row>
    <row r="10" spans="1:19">
      <c r="A10" s="3">
        <v>9</v>
      </c>
      <c r="B10" s="3">
        <v>56</v>
      </c>
      <c r="C10" s="3">
        <f t="shared" si="2"/>
        <v>349</v>
      </c>
      <c r="D10" s="3">
        <v>27.8</v>
      </c>
      <c r="E10" s="3">
        <v>1</v>
      </c>
      <c r="F10" s="3">
        <f t="shared" si="3"/>
        <v>9</v>
      </c>
      <c r="G10" s="3">
        <f t="shared" si="0"/>
        <v>1.3948840927258193</v>
      </c>
      <c r="H10" s="3">
        <v>0</v>
      </c>
      <c r="I10" s="3">
        <f t="shared" si="4"/>
        <v>0</v>
      </c>
      <c r="J10" s="3">
        <v>0</v>
      </c>
      <c r="K10" s="3">
        <v>0</v>
      </c>
      <c r="L10" s="3">
        <f t="shared" si="5"/>
        <v>0</v>
      </c>
      <c r="N10" s="3">
        <v>112</v>
      </c>
      <c r="O10" s="3">
        <f t="shared" si="6"/>
        <v>721</v>
      </c>
      <c r="P10" s="3">
        <v>28.1</v>
      </c>
      <c r="Q10" s="3">
        <v>1</v>
      </c>
      <c r="R10" s="3">
        <f t="shared" si="7"/>
        <v>9</v>
      </c>
      <c r="S10" s="3">
        <f t="shared" si="1"/>
        <v>2.8509292210359822</v>
      </c>
    </row>
    <row r="11" spans="1:19">
      <c r="A11" s="3">
        <v>10</v>
      </c>
      <c r="B11" s="3">
        <v>46</v>
      </c>
      <c r="C11" s="3">
        <f t="shared" si="2"/>
        <v>405</v>
      </c>
      <c r="D11" s="3">
        <v>27.9</v>
      </c>
      <c r="E11" s="3">
        <v>1</v>
      </c>
      <c r="F11" s="3">
        <f t="shared" si="3"/>
        <v>10</v>
      </c>
      <c r="G11" s="3">
        <f t="shared" si="0"/>
        <v>1.4516129032258065</v>
      </c>
      <c r="H11" s="3">
        <v>0</v>
      </c>
      <c r="I11" s="3">
        <f t="shared" si="4"/>
        <v>0</v>
      </c>
      <c r="J11" s="3">
        <v>0</v>
      </c>
      <c r="K11" s="3">
        <v>0</v>
      </c>
      <c r="L11" s="3">
        <f t="shared" si="5"/>
        <v>0</v>
      </c>
      <c r="N11" s="3">
        <v>77</v>
      </c>
      <c r="O11" s="3">
        <f t="shared" si="6"/>
        <v>833</v>
      </c>
      <c r="P11" s="3">
        <v>28.2</v>
      </c>
      <c r="Q11" s="3">
        <v>1</v>
      </c>
      <c r="R11" s="3">
        <f t="shared" si="7"/>
        <v>10</v>
      </c>
      <c r="S11" s="3">
        <f t="shared" si="1"/>
        <v>2.9539007092198579</v>
      </c>
    </row>
    <row r="12" spans="1:19">
      <c r="A12" s="3">
        <v>11</v>
      </c>
      <c r="B12" s="3">
        <v>46</v>
      </c>
      <c r="C12" s="3">
        <f t="shared" si="2"/>
        <v>451</v>
      </c>
      <c r="D12" s="3">
        <v>28.1</v>
      </c>
      <c r="E12" s="3">
        <v>1</v>
      </c>
      <c r="F12" s="3">
        <f t="shared" si="3"/>
        <v>11</v>
      </c>
      <c r="G12" s="3">
        <f t="shared" si="0"/>
        <v>1.4590747330960854</v>
      </c>
      <c r="H12" s="3">
        <v>2</v>
      </c>
      <c r="I12" s="3">
        <f t="shared" si="4"/>
        <v>0</v>
      </c>
      <c r="J12" s="3">
        <v>4.5</v>
      </c>
      <c r="K12" s="3">
        <v>1</v>
      </c>
      <c r="L12" s="3">
        <f t="shared" si="5"/>
        <v>1</v>
      </c>
      <c r="M12" s="3">
        <f t="shared" ref="M3:M23" si="8">I12/J12/L12</f>
        <v>0</v>
      </c>
      <c r="N12" s="3">
        <v>95</v>
      </c>
      <c r="O12" s="3">
        <f t="shared" si="6"/>
        <v>910</v>
      </c>
      <c r="P12" s="3">
        <v>28.4</v>
      </c>
      <c r="Q12" s="3">
        <v>1</v>
      </c>
      <c r="R12" s="3">
        <f t="shared" si="7"/>
        <v>11</v>
      </c>
      <c r="S12" s="3">
        <f t="shared" si="1"/>
        <v>2.9129321382842508</v>
      </c>
    </row>
    <row r="13" spans="1:19">
      <c r="A13" s="3">
        <v>12</v>
      </c>
      <c r="B13" s="3">
        <v>68</v>
      </c>
      <c r="C13" s="3">
        <f t="shared" si="2"/>
        <v>497</v>
      </c>
      <c r="D13" s="3">
        <v>28.3</v>
      </c>
      <c r="E13" s="3">
        <v>1</v>
      </c>
      <c r="F13" s="3">
        <f t="shared" si="3"/>
        <v>12</v>
      </c>
      <c r="G13" s="3">
        <f t="shared" si="0"/>
        <v>1.4634864546525324</v>
      </c>
      <c r="H13" s="3">
        <v>7</v>
      </c>
      <c r="I13" s="3">
        <f t="shared" si="4"/>
        <v>2</v>
      </c>
      <c r="J13" s="3">
        <v>4.5</v>
      </c>
      <c r="K13" s="3">
        <v>1</v>
      </c>
      <c r="L13" s="3">
        <f t="shared" si="5"/>
        <v>2</v>
      </c>
      <c r="M13" s="3">
        <f t="shared" si="8"/>
        <v>0.22222222222222221</v>
      </c>
      <c r="N13" s="3">
        <v>80</v>
      </c>
      <c r="O13" s="3">
        <f t="shared" si="6"/>
        <v>1005</v>
      </c>
      <c r="P13" s="3">
        <v>28.6</v>
      </c>
      <c r="Q13" s="3">
        <v>1</v>
      </c>
      <c r="R13" s="3">
        <f t="shared" si="7"/>
        <v>12</v>
      </c>
      <c r="S13" s="3">
        <f t="shared" si="1"/>
        <v>2.9283216783216783</v>
      </c>
    </row>
    <row r="14" spans="1:19">
      <c r="A14" s="3">
        <v>13</v>
      </c>
      <c r="B14" s="3">
        <v>46</v>
      </c>
      <c r="C14" s="3">
        <f t="shared" si="2"/>
        <v>565</v>
      </c>
      <c r="D14" s="3">
        <v>28.5</v>
      </c>
      <c r="E14" s="3">
        <v>1</v>
      </c>
      <c r="F14" s="3">
        <f t="shared" si="3"/>
        <v>13</v>
      </c>
      <c r="G14" s="3">
        <f t="shared" si="0"/>
        <v>1.524966261808367</v>
      </c>
      <c r="H14" s="3">
        <v>0</v>
      </c>
      <c r="I14" s="3">
        <f t="shared" si="4"/>
        <v>9</v>
      </c>
      <c r="J14" s="3">
        <v>0</v>
      </c>
      <c r="K14" s="3">
        <v>0</v>
      </c>
      <c r="L14" s="3">
        <f t="shared" si="5"/>
        <v>2</v>
      </c>
      <c r="N14" s="3">
        <v>101</v>
      </c>
      <c r="O14" s="3">
        <f t="shared" si="6"/>
        <v>1085</v>
      </c>
      <c r="P14" s="3">
        <v>28.7</v>
      </c>
      <c r="Q14" s="3">
        <v>1</v>
      </c>
      <c r="R14" s="3">
        <f t="shared" si="7"/>
        <v>13</v>
      </c>
      <c r="S14" s="3">
        <f t="shared" si="1"/>
        <v>2.9080675422138835</v>
      </c>
    </row>
    <row r="15" spans="1:19">
      <c r="A15" s="3">
        <v>14</v>
      </c>
      <c r="B15" s="3">
        <v>38</v>
      </c>
      <c r="C15" s="3">
        <f t="shared" si="2"/>
        <v>611</v>
      </c>
      <c r="D15" s="3">
        <v>28.6</v>
      </c>
      <c r="E15" s="3">
        <v>1</v>
      </c>
      <c r="F15" s="3">
        <f t="shared" si="3"/>
        <v>14</v>
      </c>
      <c r="G15" s="3">
        <f t="shared" si="0"/>
        <v>1.525974025974026</v>
      </c>
      <c r="H15" s="3">
        <v>0</v>
      </c>
      <c r="I15" s="3">
        <f t="shared" si="4"/>
        <v>9</v>
      </c>
      <c r="J15" s="3">
        <v>0</v>
      </c>
      <c r="K15" s="3">
        <v>0</v>
      </c>
      <c r="L15" s="3">
        <f t="shared" si="5"/>
        <v>2</v>
      </c>
      <c r="N15" s="3">
        <v>81</v>
      </c>
      <c r="O15" s="3">
        <f t="shared" si="6"/>
        <v>1186</v>
      </c>
      <c r="P15" s="3">
        <v>28.8</v>
      </c>
      <c r="Q15" s="3">
        <v>1</v>
      </c>
      <c r="R15" s="3">
        <f t="shared" si="7"/>
        <v>14</v>
      </c>
      <c r="S15" s="3">
        <f t="shared" si="1"/>
        <v>2.941468253968254</v>
      </c>
    </row>
    <row r="16" spans="1:19">
      <c r="A16" s="3">
        <v>15</v>
      </c>
      <c r="B16" s="3">
        <v>25</v>
      </c>
      <c r="C16" s="3">
        <f t="shared" si="2"/>
        <v>649</v>
      </c>
      <c r="D16" s="3">
        <v>28.8</v>
      </c>
      <c r="E16" s="3">
        <v>1</v>
      </c>
      <c r="F16" s="3">
        <f t="shared" si="3"/>
        <v>15</v>
      </c>
      <c r="G16" s="3">
        <f t="shared" si="0"/>
        <v>1.5023148148148147</v>
      </c>
      <c r="H16" s="3">
        <v>0</v>
      </c>
      <c r="I16" s="3">
        <f t="shared" si="4"/>
        <v>9</v>
      </c>
      <c r="J16" s="3">
        <v>0</v>
      </c>
      <c r="K16" s="3">
        <v>0</v>
      </c>
      <c r="L16" s="3">
        <f t="shared" si="5"/>
        <v>2</v>
      </c>
      <c r="N16" s="3">
        <v>54</v>
      </c>
      <c r="O16" s="3">
        <f t="shared" si="6"/>
        <v>1267</v>
      </c>
      <c r="P16" s="3">
        <v>29</v>
      </c>
      <c r="Q16" s="3">
        <v>1</v>
      </c>
      <c r="R16" s="3">
        <f t="shared" si="7"/>
        <v>15</v>
      </c>
      <c r="S16" s="3">
        <f t="shared" si="1"/>
        <v>2.9126436781609195</v>
      </c>
    </row>
    <row r="17" spans="1:19">
      <c r="A17" s="3">
        <v>16</v>
      </c>
      <c r="B17" s="3">
        <v>47</v>
      </c>
      <c r="C17" s="3">
        <f t="shared" si="2"/>
        <v>674</v>
      </c>
      <c r="D17" s="3">
        <v>28.9</v>
      </c>
      <c r="E17" s="3">
        <v>1</v>
      </c>
      <c r="F17" s="3">
        <f t="shared" si="3"/>
        <v>16</v>
      </c>
      <c r="G17" s="3">
        <f t="shared" si="0"/>
        <v>1.4576124567474049</v>
      </c>
      <c r="H17" s="3">
        <v>0</v>
      </c>
      <c r="I17" s="3">
        <f t="shared" si="4"/>
        <v>9</v>
      </c>
      <c r="J17" s="3">
        <v>0</v>
      </c>
      <c r="K17" s="3">
        <v>0</v>
      </c>
      <c r="L17" s="3">
        <f t="shared" si="5"/>
        <v>2</v>
      </c>
      <c r="N17" s="3">
        <v>46</v>
      </c>
      <c r="O17" s="3">
        <f t="shared" si="6"/>
        <v>1321</v>
      </c>
      <c r="P17" s="3">
        <v>29.1</v>
      </c>
      <c r="Q17" s="3">
        <v>1</v>
      </c>
      <c r="R17" s="3">
        <f t="shared" si="7"/>
        <v>16</v>
      </c>
      <c r="S17" s="3">
        <f t="shared" si="1"/>
        <v>2.8371993127147763</v>
      </c>
    </row>
    <row r="18" spans="1:19">
      <c r="A18" s="3">
        <v>17</v>
      </c>
      <c r="B18" s="3">
        <v>62</v>
      </c>
      <c r="C18" s="3">
        <f t="shared" si="2"/>
        <v>721</v>
      </c>
      <c r="D18" s="3">
        <v>29.1</v>
      </c>
      <c r="E18" s="3">
        <v>1</v>
      </c>
      <c r="F18" s="3">
        <f t="shared" si="3"/>
        <v>17</v>
      </c>
      <c r="G18" s="3">
        <f t="shared" si="0"/>
        <v>1.4574489589650292</v>
      </c>
      <c r="H18" s="3">
        <v>0</v>
      </c>
      <c r="I18" s="3">
        <f t="shared" si="4"/>
        <v>9</v>
      </c>
      <c r="J18" s="3">
        <v>0</v>
      </c>
      <c r="K18" s="3">
        <v>0</v>
      </c>
      <c r="L18" s="3">
        <f t="shared" si="5"/>
        <v>2</v>
      </c>
      <c r="N18" s="3">
        <v>64</v>
      </c>
      <c r="O18" s="3">
        <f t="shared" si="6"/>
        <v>1367</v>
      </c>
      <c r="P18" s="3">
        <v>29.2</v>
      </c>
      <c r="Q18" s="3">
        <v>1</v>
      </c>
      <c r="R18" s="3">
        <f t="shared" si="7"/>
        <v>17</v>
      </c>
      <c r="S18" s="3">
        <f t="shared" si="1"/>
        <v>2.7538275584206282</v>
      </c>
    </row>
    <row r="19" spans="1:19">
      <c r="A19" s="3">
        <v>18</v>
      </c>
      <c r="B19" s="3">
        <v>53</v>
      </c>
      <c r="C19" s="3">
        <f t="shared" si="2"/>
        <v>783</v>
      </c>
      <c r="D19" s="3">
        <v>29.3</v>
      </c>
      <c r="E19" s="3">
        <v>1</v>
      </c>
      <c r="F19" s="3">
        <f t="shared" si="3"/>
        <v>18</v>
      </c>
      <c r="G19" s="3">
        <f t="shared" si="0"/>
        <v>1.4846416382252561</v>
      </c>
      <c r="H19" s="3">
        <v>1</v>
      </c>
      <c r="I19" s="3">
        <f t="shared" si="4"/>
        <v>9</v>
      </c>
      <c r="J19" s="3">
        <v>4.5</v>
      </c>
      <c r="K19" s="3">
        <v>1</v>
      </c>
      <c r="L19" s="3">
        <f t="shared" si="5"/>
        <v>3</v>
      </c>
      <c r="M19" s="3">
        <f t="shared" si="8"/>
        <v>0.66666666666666663</v>
      </c>
      <c r="N19" s="3">
        <v>95</v>
      </c>
      <c r="O19" s="3">
        <f t="shared" si="6"/>
        <v>1431</v>
      </c>
      <c r="P19" s="3">
        <v>29.3</v>
      </c>
      <c r="Q19" s="3">
        <v>1</v>
      </c>
      <c r="R19" s="3">
        <f t="shared" si="7"/>
        <v>18</v>
      </c>
      <c r="S19" s="3">
        <f t="shared" si="1"/>
        <v>2.7133105802047783</v>
      </c>
    </row>
    <row r="20" spans="1:19">
      <c r="A20" s="3">
        <v>19</v>
      </c>
      <c r="B20" s="3">
        <v>42</v>
      </c>
      <c r="C20" s="3">
        <f t="shared" si="2"/>
        <v>836</v>
      </c>
      <c r="D20" s="3">
        <v>29.5</v>
      </c>
      <c r="E20" s="3">
        <v>1</v>
      </c>
      <c r="F20" s="3">
        <f t="shared" si="3"/>
        <v>19</v>
      </c>
      <c r="G20" s="3">
        <f t="shared" si="0"/>
        <v>1.4915254237288136</v>
      </c>
      <c r="H20" s="3">
        <v>12</v>
      </c>
      <c r="I20" s="3">
        <f t="shared" si="4"/>
        <v>10</v>
      </c>
      <c r="J20" s="3">
        <v>4.5</v>
      </c>
      <c r="K20" s="3">
        <v>1</v>
      </c>
      <c r="L20" s="3">
        <f t="shared" si="5"/>
        <v>4</v>
      </c>
      <c r="M20" s="3">
        <f t="shared" si="8"/>
        <v>0.55555555555555558</v>
      </c>
      <c r="N20" s="3">
        <v>45</v>
      </c>
      <c r="O20" s="3">
        <f t="shared" si="6"/>
        <v>1526</v>
      </c>
      <c r="P20" s="3">
        <v>29.4</v>
      </c>
      <c r="Q20" s="3">
        <v>1</v>
      </c>
      <c r="R20" s="3">
        <f t="shared" si="7"/>
        <v>19</v>
      </c>
      <c r="S20" s="3">
        <f t="shared" si="1"/>
        <v>2.7318295739348373</v>
      </c>
    </row>
    <row r="21" spans="1:19">
      <c r="A21" s="3">
        <v>20</v>
      </c>
      <c r="B21" s="3">
        <v>45</v>
      </c>
      <c r="C21" s="3">
        <f t="shared" si="2"/>
        <v>878</v>
      </c>
      <c r="D21" s="3">
        <v>29.7</v>
      </c>
      <c r="E21" s="3">
        <v>1</v>
      </c>
      <c r="F21" s="3">
        <f t="shared" si="3"/>
        <v>20</v>
      </c>
      <c r="G21" s="3">
        <f t="shared" si="0"/>
        <v>1.4781144781144782</v>
      </c>
      <c r="H21" s="3">
        <v>10</v>
      </c>
      <c r="I21" s="3">
        <f t="shared" si="4"/>
        <v>22</v>
      </c>
      <c r="J21" s="3">
        <v>5</v>
      </c>
      <c r="K21" s="3">
        <v>1</v>
      </c>
      <c r="L21" s="3">
        <f t="shared" si="5"/>
        <v>5</v>
      </c>
      <c r="M21" s="3">
        <f t="shared" si="8"/>
        <v>0.88000000000000012</v>
      </c>
      <c r="N21" s="3">
        <v>105</v>
      </c>
      <c r="O21" s="3">
        <f t="shared" si="6"/>
        <v>1571</v>
      </c>
      <c r="P21" s="3">
        <v>29.4</v>
      </c>
      <c r="Q21" s="3">
        <v>1</v>
      </c>
      <c r="R21" s="3">
        <f t="shared" si="7"/>
        <v>20</v>
      </c>
      <c r="S21" s="3">
        <f t="shared" si="1"/>
        <v>2.6717687074829932</v>
      </c>
    </row>
    <row r="22" spans="1:19">
      <c r="A22" s="3">
        <v>21</v>
      </c>
      <c r="B22" s="3">
        <v>44</v>
      </c>
      <c r="C22" s="3">
        <f t="shared" si="2"/>
        <v>923</v>
      </c>
      <c r="D22" s="3">
        <v>29.9</v>
      </c>
      <c r="E22" s="3">
        <v>1</v>
      </c>
      <c r="F22" s="3">
        <f t="shared" si="3"/>
        <v>21</v>
      </c>
      <c r="G22" s="3">
        <f t="shared" si="0"/>
        <v>1.4699792960662525</v>
      </c>
      <c r="H22" s="3">
        <v>6</v>
      </c>
      <c r="I22" s="3">
        <f t="shared" si="4"/>
        <v>32</v>
      </c>
      <c r="J22" s="3">
        <v>5.5</v>
      </c>
      <c r="K22" s="3">
        <v>1</v>
      </c>
      <c r="L22" s="3">
        <f t="shared" si="5"/>
        <v>6</v>
      </c>
      <c r="M22" s="3">
        <f t="shared" si="8"/>
        <v>0.96969696969696972</v>
      </c>
      <c r="N22" s="3">
        <v>84</v>
      </c>
      <c r="O22" s="3">
        <f t="shared" si="6"/>
        <v>1676</v>
      </c>
      <c r="P22" s="3">
        <v>29.6</v>
      </c>
      <c r="Q22" s="3">
        <v>1</v>
      </c>
      <c r="R22" s="3">
        <f t="shared" si="7"/>
        <v>21</v>
      </c>
      <c r="S22" s="3">
        <f t="shared" si="1"/>
        <v>2.6962676962676961</v>
      </c>
    </row>
    <row r="23" spans="1:19">
      <c r="A23" s="3">
        <v>22</v>
      </c>
      <c r="B23" s="3">
        <v>47</v>
      </c>
      <c r="C23" s="3">
        <f t="shared" si="2"/>
        <v>967</v>
      </c>
      <c r="D23" s="3">
        <v>30</v>
      </c>
      <c r="E23" s="3">
        <v>1</v>
      </c>
      <c r="F23" s="3">
        <f t="shared" si="3"/>
        <v>22</v>
      </c>
      <c r="G23" s="3">
        <f t="shared" si="0"/>
        <v>1.4651515151515151</v>
      </c>
      <c r="H23" s="3">
        <v>11</v>
      </c>
      <c r="I23" s="3">
        <f t="shared" si="4"/>
        <v>38</v>
      </c>
      <c r="J23" s="3">
        <v>5.5</v>
      </c>
      <c r="K23" s="3">
        <v>1</v>
      </c>
      <c r="L23" s="3">
        <f t="shared" si="5"/>
        <v>7</v>
      </c>
      <c r="M23" s="3">
        <f t="shared" si="8"/>
        <v>0.98701298701298701</v>
      </c>
      <c r="N23" s="3">
        <v>87</v>
      </c>
      <c r="O23" s="3">
        <f t="shared" si="6"/>
        <v>1760</v>
      </c>
      <c r="P23" s="3">
        <v>29.7</v>
      </c>
      <c r="Q23" s="3">
        <v>1</v>
      </c>
      <c r="R23" s="3">
        <f t="shared" si="7"/>
        <v>22</v>
      </c>
      <c r="S23" s="3">
        <f t="shared" si="1"/>
        <v>2.6936026936026938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4C22-B1F0-4432-9D5D-AC861A522885}">
  <dimension ref="A1:X6"/>
  <sheetViews>
    <sheetView workbookViewId="0">
      <selection activeCell="C8" sqref="C8"/>
    </sheetView>
  </sheetViews>
  <sheetFormatPr defaultRowHeight="15"/>
  <sheetData>
    <row r="1" spans="1:24" s="2" customFormat="1">
      <c r="A1" s="1" t="s">
        <v>0</v>
      </c>
      <c r="B1" s="1" t="s">
        <v>1</v>
      </c>
      <c r="C1" s="1">
        <v>35</v>
      </c>
      <c r="D1" s="1">
        <v>61</v>
      </c>
      <c r="E1" s="1">
        <v>36</v>
      </c>
      <c r="F1" s="1">
        <v>37</v>
      </c>
      <c r="G1" s="1">
        <v>64</v>
      </c>
      <c r="H1" s="1">
        <v>35</v>
      </c>
      <c r="I1" s="1">
        <v>46</v>
      </c>
      <c r="J1" s="1">
        <v>35</v>
      </c>
      <c r="K1" s="1">
        <v>56</v>
      </c>
      <c r="L1" s="1">
        <v>46</v>
      </c>
      <c r="M1" s="1">
        <v>46</v>
      </c>
      <c r="N1" s="1">
        <v>68</v>
      </c>
      <c r="O1" s="1">
        <v>46</v>
      </c>
      <c r="P1" s="1">
        <v>38</v>
      </c>
      <c r="Q1" s="1">
        <v>25</v>
      </c>
      <c r="R1" s="1">
        <v>47</v>
      </c>
      <c r="S1" s="1">
        <v>62</v>
      </c>
      <c r="T1" s="1">
        <v>53</v>
      </c>
      <c r="U1" s="1">
        <v>42</v>
      </c>
      <c r="V1" s="1">
        <v>45</v>
      </c>
      <c r="W1" s="1">
        <v>44</v>
      </c>
      <c r="X1" s="1">
        <v>47</v>
      </c>
    </row>
    <row r="2" spans="1:24" s="2" customFormat="1">
      <c r="A2" s="1" t="s">
        <v>0</v>
      </c>
      <c r="B2" s="1" t="s">
        <v>1</v>
      </c>
      <c r="C2" s="1">
        <v>26.9</v>
      </c>
      <c r="D2" s="1">
        <v>27</v>
      </c>
      <c r="E2" s="1">
        <v>27.1</v>
      </c>
      <c r="F2" s="1">
        <v>27.2</v>
      </c>
      <c r="G2" s="1">
        <v>27.3</v>
      </c>
      <c r="H2" s="1">
        <v>27.4</v>
      </c>
      <c r="I2" s="1">
        <v>27.5</v>
      </c>
      <c r="J2" s="1">
        <v>27.6</v>
      </c>
      <c r="K2" s="1">
        <v>27.8</v>
      </c>
      <c r="L2" s="1">
        <v>27.9</v>
      </c>
      <c r="M2" s="1">
        <v>28.1</v>
      </c>
      <c r="N2" s="1">
        <v>28.3</v>
      </c>
      <c r="O2" s="1">
        <v>28.5</v>
      </c>
      <c r="P2" s="1">
        <v>28.6</v>
      </c>
      <c r="Q2" s="1">
        <v>28.8</v>
      </c>
      <c r="R2" s="1">
        <v>28.9</v>
      </c>
      <c r="S2" s="1">
        <v>29.1</v>
      </c>
      <c r="T2" s="1">
        <v>29.3</v>
      </c>
      <c r="U2" s="1">
        <v>29.5</v>
      </c>
      <c r="V2" s="1">
        <v>29.7</v>
      </c>
      <c r="W2" s="1">
        <v>29.9</v>
      </c>
      <c r="X2" s="1">
        <v>30</v>
      </c>
    </row>
    <row r="3" spans="1:24" s="2" customFormat="1">
      <c r="A3" s="1" t="s">
        <v>2</v>
      </c>
      <c r="B3" s="1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>
        <v>2</v>
      </c>
      <c r="N3" s="1">
        <v>7</v>
      </c>
      <c r="O3" s="1"/>
      <c r="P3" s="1"/>
      <c r="Q3" s="1"/>
      <c r="R3" s="1"/>
      <c r="S3" s="1"/>
      <c r="T3" s="1">
        <v>1</v>
      </c>
      <c r="U3" s="1">
        <v>12</v>
      </c>
      <c r="V3" s="1">
        <v>10</v>
      </c>
      <c r="W3" s="1">
        <v>6</v>
      </c>
      <c r="X3" s="1">
        <v>11</v>
      </c>
    </row>
    <row r="4" spans="1:24" s="2" customFormat="1">
      <c r="A4" s="1" t="s">
        <v>2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>
        <v>4.5</v>
      </c>
      <c r="N4" s="1">
        <v>4.5</v>
      </c>
      <c r="O4" s="1"/>
      <c r="P4" s="1"/>
      <c r="Q4" s="1"/>
      <c r="R4" s="1"/>
      <c r="S4" s="1"/>
      <c r="T4" s="1">
        <v>4.5</v>
      </c>
      <c r="U4" s="1">
        <v>4.5</v>
      </c>
      <c r="V4" s="1">
        <v>5</v>
      </c>
      <c r="W4" s="1">
        <v>5.5</v>
      </c>
      <c r="X4" s="1">
        <v>5.5</v>
      </c>
    </row>
    <row r="5" spans="1:24">
      <c r="B5" s="1" t="s">
        <v>1</v>
      </c>
      <c r="C5" s="1">
        <v>78</v>
      </c>
      <c r="D5" s="1">
        <v>95</v>
      </c>
      <c r="E5" s="1">
        <v>98</v>
      </c>
      <c r="F5" s="1">
        <v>108</v>
      </c>
      <c r="G5" s="1">
        <v>97</v>
      </c>
      <c r="H5" s="1">
        <v>63</v>
      </c>
      <c r="I5" s="1">
        <v>96</v>
      </c>
      <c r="J5" s="1">
        <v>86</v>
      </c>
      <c r="K5" s="1">
        <v>112</v>
      </c>
      <c r="L5" s="1">
        <v>77</v>
      </c>
      <c r="M5" s="1">
        <v>95</v>
      </c>
      <c r="N5" s="1">
        <v>80</v>
      </c>
      <c r="O5" s="1">
        <v>101</v>
      </c>
      <c r="P5" s="1">
        <v>81</v>
      </c>
      <c r="Q5" s="1">
        <v>54</v>
      </c>
      <c r="R5" s="1">
        <v>46</v>
      </c>
      <c r="S5" s="1">
        <v>64</v>
      </c>
      <c r="T5" s="1">
        <v>95</v>
      </c>
      <c r="U5" s="1">
        <v>45</v>
      </c>
      <c r="V5" s="1">
        <v>105</v>
      </c>
      <c r="W5" s="1">
        <v>84</v>
      </c>
      <c r="X5" s="1">
        <v>87</v>
      </c>
    </row>
    <row r="6" spans="1:24">
      <c r="B6" s="1" t="s">
        <v>1</v>
      </c>
      <c r="C6" s="1">
        <v>27.2</v>
      </c>
      <c r="D6" s="1">
        <v>27.3</v>
      </c>
      <c r="E6" s="1">
        <v>27.4</v>
      </c>
      <c r="F6" s="1">
        <v>27.5</v>
      </c>
      <c r="G6" s="1">
        <v>27.6</v>
      </c>
      <c r="H6" s="1">
        <v>27.7</v>
      </c>
      <c r="I6" s="1">
        <v>27.8</v>
      </c>
      <c r="J6" s="1">
        <v>27.9</v>
      </c>
      <c r="K6" s="1">
        <v>28.1</v>
      </c>
      <c r="L6" s="1">
        <v>28.2</v>
      </c>
      <c r="M6" s="1">
        <v>28.4</v>
      </c>
      <c r="N6" s="1">
        <v>28.6</v>
      </c>
      <c r="O6" s="1">
        <v>28.7</v>
      </c>
      <c r="P6" s="1">
        <v>28.8</v>
      </c>
      <c r="Q6" s="1">
        <v>29</v>
      </c>
      <c r="R6" s="1">
        <v>29.1</v>
      </c>
      <c r="S6" s="1">
        <v>29.2</v>
      </c>
      <c r="T6" s="1">
        <v>29.3</v>
      </c>
      <c r="U6" s="1">
        <v>29.4</v>
      </c>
      <c r="V6" s="1">
        <v>29.4</v>
      </c>
      <c r="W6" s="1">
        <v>29.6</v>
      </c>
      <c r="X6" s="1">
        <v>29.7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4D71-4AC0-4629-BA1E-E13CC0397A92}">
  <dimension ref="A1:G2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4" sqref="D14"/>
    </sheetView>
  </sheetViews>
  <sheetFormatPr defaultRowHeight="15"/>
  <cols>
    <col min="1" max="1" width="4.5703125" bestFit="1" customWidth="1"/>
    <col min="2" max="2" width="18.5703125" bestFit="1" customWidth="1"/>
    <col min="3" max="3" width="18.140625" bestFit="1" customWidth="1"/>
    <col min="4" max="4" width="17.5703125" bestFit="1" customWidth="1"/>
    <col min="5" max="5" width="17.28515625" bestFit="1" customWidth="1"/>
    <col min="6" max="6" width="21.140625" bestFit="1" customWidth="1"/>
    <col min="7" max="7" width="16.42578125" bestFit="1" customWidth="1"/>
  </cols>
  <sheetData>
    <row r="1" spans="1:7">
      <c r="A1" s="4" t="s">
        <v>6</v>
      </c>
      <c r="B1" s="4" t="s">
        <v>27</v>
      </c>
      <c r="C1" s="4" t="s">
        <v>26</v>
      </c>
      <c r="D1" s="4" t="s">
        <v>28</v>
      </c>
      <c r="E1" s="4" t="s">
        <v>29</v>
      </c>
      <c r="F1" s="4" t="s">
        <v>30</v>
      </c>
      <c r="G1" s="4" t="s">
        <v>31</v>
      </c>
    </row>
    <row r="2" spans="1:7">
      <c r="A2" s="3">
        <v>1</v>
      </c>
      <c r="B2" s="3">
        <f t="array" ref="B2:B25">TRANSPOSE('2004 Actual'!C3:Z3)</f>
        <v>0</v>
      </c>
      <c r="C2" s="3">
        <v>0</v>
      </c>
      <c r="D2" s="3">
        <f t="array" ref="D2:D25">TRANSPOSE('2004 Actual'!C6:Z6)</f>
        <v>0</v>
      </c>
      <c r="E2" s="3"/>
      <c r="F2" s="3">
        <f>E2</f>
        <v>0</v>
      </c>
      <c r="G2" s="3"/>
    </row>
    <row r="3" spans="1:7">
      <c r="A3" s="3">
        <v>2</v>
      </c>
      <c r="B3" s="3">
        <v>26</v>
      </c>
      <c r="C3" s="3">
        <f>C2+B2</f>
        <v>0</v>
      </c>
      <c r="D3" s="3">
        <v>14</v>
      </c>
      <c r="E3" s="3">
        <v>1</v>
      </c>
      <c r="F3" s="3">
        <f>F2+E3</f>
        <v>1</v>
      </c>
      <c r="G3" s="3">
        <f t="shared" ref="G3:G23" si="0">C3/D3/F3</f>
        <v>0</v>
      </c>
    </row>
    <row r="4" spans="1:7">
      <c r="A4" s="3">
        <v>3</v>
      </c>
      <c r="B4" s="3">
        <v>0</v>
      </c>
      <c r="C4" s="3">
        <f t="shared" ref="C4:C25" si="1">C3+B3</f>
        <v>26</v>
      </c>
      <c r="D4" s="3">
        <v>0</v>
      </c>
      <c r="E4" s="3"/>
      <c r="F4" s="3">
        <f t="shared" ref="F4:F25" si="2">F3+E4</f>
        <v>1</v>
      </c>
      <c r="G4" s="3"/>
    </row>
    <row r="5" spans="1:7">
      <c r="A5" s="3">
        <v>4</v>
      </c>
      <c r="B5" s="3">
        <v>0</v>
      </c>
      <c r="C5" s="3">
        <f t="shared" si="1"/>
        <v>26</v>
      </c>
      <c r="D5" s="3">
        <v>0</v>
      </c>
      <c r="E5" s="3"/>
      <c r="F5" s="3">
        <f t="shared" si="2"/>
        <v>1</v>
      </c>
      <c r="G5" s="3"/>
    </row>
    <row r="6" spans="1:7">
      <c r="A6" s="3">
        <v>5</v>
      </c>
      <c r="B6" s="3">
        <v>0</v>
      </c>
      <c r="C6" s="3">
        <f t="shared" si="1"/>
        <v>26</v>
      </c>
      <c r="D6" s="3">
        <v>0</v>
      </c>
      <c r="E6" s="3"/>
      <c r="F6" s="3">
        <f t="shared" si="2"/>
        <v>1</v>
      </c>
      <c r="G6" s="3"/>
    </row>
    <row r="7" spans="1:7">
      <c r="A7" s="3">
        <v>6</v>
      </c>
      <c r="B7" s="3">
        <v>0</v>
      </c>
      <c r="C7" s="3">
        <f t="shared" si="1"/>
        <v>26</v>
      </c>
      <c r="D7" s="3">
        <v>0</v>
      </c>
      <c r="E7" s="3"/>
      <c r="F7" s="3">
        <f t="shared" si="2"/>
        <v>1</v>
      </c>
      <c r="G7" s="3"/>
    </row>
    <row r="8" spans="1:7">
      <c r="A8" s="3">
        <v>7</v>
      </c>
      <c r="B8" s="3">
        <v>0</v>
      </c>
      <c r="C8" s="3">
        <f t="shared" si="1"/>
        <v>26</v>
      </c>
      <c r="D8" s="3">
        <v>0</v>
      </c>
      <c r="E8" s="3"/>
      <c r="F8" s="3">
        <f t="shared" si="2"/>
        <v>1</v>
      </c>
      <c r="G8" s="3"/>
    </row>
    <row r="9" spans="1:7">
      <c r="A9" s="3">
        <v>8</v>
      </c>
      <c r="B9" s="3">
        <v>0</v>
      </c>
      <c r="C9" s="3">
        <f t="shared" si="1"/>
        <v>26</v>
      </c>
      <c r="D9" s="3">
        <v>0</v>
      </c>
      <c r="E9" s="3"/>
      <c r="F9" s="3">
        <f t="shared" si="2"/>
        <v>1</v>
      </c>
      <c r="G9" s="3"/>
    </row>
    <row r="10" spans="1:7">
      <c r="A10" s="3">
        <v>9</v>
      </c>
      <c r="B10" s="3">
        <v>0</v>
      </c>
      <c r="C10" s="3">
        <f t="shared" si="1"/>
        <v>26</v>
      </c>
      <c r="D10" s="3">
        <v>0</v>
      </c>
      <c r="E10" s="3"/>
      <c r="F10" s="3">
        <f t="shared" si="2"/>
        <v>1</v>
      </c>
      <c r="G10" s="3"/>
    </row>
    <row r="11" spans="1:7">
      <c r="A11" s="3">
        <v>10</v>
      </c>
      <c r="B11" s="3">
        <v>0</v>
      </c>
      <c r="C11" s="3">
        <f t="shared" si="1"/>
        <v>26</v>
      </c>
      <c r="D11" s="3">
        <v>0</v>
      </c>
      <c r="E11" s="3"/>
      <c r="F11" s="3">
        <f t="shared" si="2"/>
        <v>1</v>
      </c>
      <c r="G11" s="3"/>
    </row>
    <row r="12" spans="1:7">
      <c r="A12" s="3">
        <v>11</v>
      </c>
      <c r="B12" s="3">
        <v>0</v>
      </c>
      <c r="C12" s="3">
        <f t="shared" si="1"/>
        <v>26</v>
      </c>
      <c r="D12" s="3">
        <v>0</v>
      </c>
      <c r="E12" s="3"/>
      <c r="F12" s="3">
        <f t="shared" si="2"/>
        <v>1</v>
      </c>
      <c r="G12" s="3"/>
    </row>
    <row r="13" spans="1:7">
      <c r="A13" s="3">
        <v>12</v>
      </c>
      <c r="B13" s="3">
        <v>0</v>
      </c>
      <c r="C13" s="3">
        <f t="shared" si="1"/>
        <v>26</v>
      </c>
      <c r="D13" s="3">
        <v>0</v>
      </c>
      <c r="E13" s="3"/>
      <c r="F13" s="3">
        <f t="shared" si="2"/>
        <v>1</v>
      </c>
      <c r="G13" s="3"/>
    </row>
    <row r="14" spans="1:7">
      <c r="A14" s="3">
        <v>13</v>
      </c>
      <c r="B14" s="3">
        <v>0</v>
      </c>
      <c r="C14" s="3">
        <f t="shared" si="1"/>
        <v>26</v>
      </c>
      <c r="D14" s="3">
        <v>0</v>
      </c>
      <c r="E14" s="3"/>
      <c r="F14" s="3">
        <f t="shared" si="2"/>
        <v>1</v>
      </c>
      <c r="G14" s="3"/>
    </row>
    <row r="15" spans="1:7">
      <c r="A15" s="3">
        <v>14</v>
      </c>
      <c r="B15" s="3">
        <v>0</v>
      </c>
      <c r="C15" s="3">
        <f t="shared" si="1"/>
        <v>26</v>
      </c>
      <c r="D15" s="3">
        <v>0</v>
      </c>
      <c r="E15" s="3"/>
      <c r="F15" s="3">
        <f t="shared" si="2"/>
        <v>1</v>
      </c>
      <c r="G15" s="3"/>
    </row>
    <row r="16" spans="1:7">
      <c r="A16" s="3">
        <v>15</v>
      </c>
      <c r="B16" s="3">
        <v>0</v>
      </c>
      <c r="C16" s="3">
        <f t="shared" si="1"/>
        <v>26</v>
      </c>
      <c r="D16" s="3">
        <v>0</v>
      </c>
      <c r="E16" s="3"/>
      <c r="F16" s="3">
        <f t="shared" si="2"/>
        <v>1</v>
      </c>
      <c r="G16" s="3"/>
    </row>
    <row r="17" spans="1:7">
      <c r="A17" s="3">
        <v>16</v>
      </c>
      <c r="B17" s="3">
        <v>0</v>
      </c>
      <c r="C17" s="3">
        <f t="shared" si="1"/>
        <v>26</v>
      </c>
      <c r="D17" s="3">
        <v>0</v>
      </c>
      <c r="E17" s="3"/>
      <c r="F17" s="3">
        <f t="shared" si="2"/>
        <v>1</v>
      </c>
      <c r="G17" s="3"/>
    </row>
    <row r="18" spans="1:7">
      <c r="A18" s="3">
        <v>17</v>
      </c>
      <c r="B18" s="3">
        <v>7</v>
      </c>
      <c r="C18" s="3">
        <f t="shared" si="1"/>
        <v>26</v>
      </c>
      <c r="D18" s="3">
        <v>15</v>
      </c>
      <c r="E18" s="3">
        <v>1</v>
      </c>
      <c r="F18" s="3">
        <f t="shared" si="2"/>
        <v>2</v>
      </c>
      <c r="G18" s="3">
        <f t="shared" si="0"/>
        <v>0.8666666666666667</v>
      </c>
    </row>
    <row r="19" spans="1:7">
      <c r="A19" s="3">
        <v>18</v>
      </c>
      <c r="B19" s="3">
        <v>0</v>
      </c>
      <c r="C19" s="3">
        <f t="shared" si="1"/>
        <v>33</v>
      </c>
      <c r="D19" s="3">
        <v>0</v>
      </c>
      <c r="E19" s="3"/>
      <c r="F19" s="3">
        <f t="shared" si="2"/>
        <v>2</v>
      </c>
      <c r="G19" s="3"/>
    </row>
    <row r="20" spans="1:7">
      <c r="A20" s="3">
        <v>19</v>
      </c>
      <c r="B20" s="3">
        <v>0</v>
      </c>
      <c r="C20" s="3">
        <f t="shared" si="1"/>
        <v>33</v>
      </c>
      <c r="D20" s="3">
        <v>0</v>
      </c>
      <c r="E20" s="3"/>
      <c r="F20" s="3">
        <f t="shared" si="2"/>
        <v>2</v>
      </c>
      <c r="G20" s="3"/>
    </row>
    <row r="21" spans="1:7">
      <c r="A21" s="3">
        <v>20</v>
      </c>
      <c r="B21" s="3">
        <v>0</v>
      </c>
      <c r="C21" s="3">
        <f t="shared" si="1"/>
        <v>33</v>
      </c>
      <c r="D21" s="3">
        <v>0</v>
      </c>
      <c r="E21" s="3"/>
      <c r="F21" s="3">
        <f t="shared" si="2"/>
        <v>2</v>
      </c>
      <c r="G21" s="3"/>
    </row>
    <row r="22" spans="1:7">
      <c r="A22" s="3">
        <v>21</v>
      </c>
      <c r="B22" s="3">
        <v>14</v>
      </c>
      <c r="C22" s="3">
        <f t="shared" si="1"/>
        <v>33</v>
      </c>
      <c r="D22" s="3">
        <v>13.3</v>
      </c>
      <c r="E22" s="3">
        <v>1</v>
      </c>
      <c r="F22" s="3">
        <f t="shared" si="2"/>
        <v>3</v>
      </c>
      <c r="G22" s="3">
        <f t="shared" si="0"/>
        <v>0.82706766917293228</v>
      </c>
    </row>
    <row r="23" spans="1:7">
      <c r="A23" s="3">
        <v>22</v>
      </c>
      <c r="B23" s="3">
        <v>0</v>
      </c>
      <c r="C23" s="3">
        <f t="shared" si="1"/>
        <v>47</v>
      </c>
      <c r="D23" s="3">
        <v>0</v>
      </c>
      <c r="E23" s="3"/>
      <c r="F23" s="3">
        <f t="shared" si="2"/>
        <v>3</v>
      </c>
      <c r="G23" s="3"/>
    </row>
    <row r="24" spans="1:7">
      <c r="A24" s="3">
        <v>23</v>
      </c>
      <c r="B24">
        <v>0</v>
      </c>
      <c r="C24" s="3">
        <f t="shared" si="1"/>
        <v>47</v>
      </c>
      <c r="D24">
        <v>0</v>
      </c>
      <c r="F24" s="3">
        <f t="shared" si="2"/>
        <v>3</v>
      </c>
    </row>
    <row r="25" spans="1:7">
      <c r="A25" s="3">
        <v>24</v>
      </c>
      <c r="B25">
        <v>0</v>
      </c>
      <c r="C25" s="3">
        <f t="shared" si="1"/>
        <v>47</v>
      </c>
      <c r="D25">
        <v>0</v>
      </c>
      <c r="F25" s="3">
        <f t="shared" si="2"/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F152-550E-48F4-9F27-F94F2D7CA7F7}">
  <dimension ref="A1:Z6"/>
  <sheetViews>
    <sheetView workbookViewId="0">
      <selection activeCell="K16" sqref="K16"/>
    </sheetView>
  </sheetViews>
  <sheetFormatPr defaultRowHeight="15"/>
  <sheetData>
    <row r="1" spans="1:26">
      <c r="A1" s="1" t="s">
        <v>23</v>
      </c>
      <c r="B1" s="1" t="s">
        <v>24</v>
      </c>
      <c r="C1" s="1"/>
      <c r="D1" s="1">
        <v>26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 t="s">
        <v>23</v>
      </c>
      <c r="B2" s="1" t="s">
        <v>25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>
        <v>7</v>
      </c>
      <c r="T2" s="1"/>
      <c r="U2" s="1"/>
      <c r="V2" s="1"/>
      <c r="W2" s="1">
        <v>14</v>
      </c>
      <c r="X2" s="1"/>
      <c r="Y2" s="1"/>
      <c r="Z2" s="1"/>
    </row>
    <row r="3" spans="1:26">
      <c r="A3" s="1" t="s">
        <v>23</v>
      </c>
      <c r="C3">
        <f>C1+C2</f>
        <v>0</v>
      </c>
      <c r="D3">
        <f t="shared" ref="D3:W3" si="0">D1+D2</f>
        <v>26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si="0"/>
        <v>7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14</v>
      </c>
      <c r="X3">
        <f>X1+X2</f>
        <v>0</v>
      </c>
      <c r="Y3">
        <f t="shared" ref="Y3" si="1">Y1+Y2</f>
        <v>0</v>
      </c>
      <c r="Z3">
        <f t="shared" ref="Z3" si="2">Z1+Z2</f>
        <v>0</v>
      </c>
    </row>
    <row r="4" spans="1:26">
      <c r="A4" s="1" t="s">
        <v>23</v>
      </c>
      <c r="B4" s="1" t="s">
        <v>24</v>
      </c>
      <c r="C4" s="1"/>
      <c r="D4" s="1">
        <v>14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23</v>
      </c>
      <c r="B5" s="1" t="s">
        <v>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>
        <v>15</v>
      </c>
      <c r="T5" s="1"/>
      <c r="U5" s="1"/>
      <c r="V5" s="1"/>
      <c r="W5" s="1">
        <v>13.3</v>
      </c>
      <c r="X5" s="1"/>
      <c r="Y5" s="1"/>
      <c r="Z5" s="1"/>
    </row>
    <row r="6" spans="1:26">
      <c r="A6" s="1" t="s">
        <v>23</v>
      </c>
      <c r="C6">
        <f>SUM(C4:C5)</f>
        <v>0</v>
      </c>
      <c r="D6">
        <f t="shared" ref="D6:Z6" si="3">SUM(D4:D5)</f>
        <v>14</v>
      </c>
      <c r="E6">
        <f t="shared" si="3"/>
        <v>0</v>
      </c>
      <c r="F6">
        <f t="shared" si="3"/>
        <v>0</v>
      </c>
      <c r="G6">
        <f t="shared" si="3"/>
        <v>0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si="3"/>
        <v>0</v>
      </c>
      <c r="P6">
        <f t="shared" si="3"/>
        <v>0</v>
      </c>
      <c r="Q6">
        <f t="shared" si="3"/>
        <v>0</v>
      </c>
      <c r="R6">
        <f t="shared" si="3"/>
        <v>0</v>
      </c>
      <c r="S6">
        <f t="shared" si="3"/>
        <v>15</v>
      </c>
      <c r="T6">
        <f t="shared" si="3"/>
        <v>0</v>
      </c>
      <c r="U6">
        <f t="shared" si="3"/>
        <v>0</v>
      </c>
      <c r="V6">
        <f t="shared" si="3"/>
        <v>0</v>
      </c>
      <c r="W6">
        <f t="shared" si="3"/>
        <v>13.3</v>
      </c>
      <c r="X6">
        <f t="shared" si="3"/>
        <v>0</v>
      </c>
      <c r="Y6">
        <f t="shared" si="3"/>
        <v>0</v>
      </c>
      <c r="Z6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2003 Expected</vt:lpstr>
      <vt:lpstr>2023 Actual</vt:lpstr>
      <vt:lpstr>2004 Expected</vt:lpstr>
      <vt:lpstr>2004 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Shepherd</dc:creator>
  <cp:lastModifiedBy>Alex Shepherd</cp:lastModifiedBy>
  <dcterms:created xsi:type="dcterms:W3CDTF">2025-11-01T19:10:26Z</dcterms:created>
  <dcterms:modified xsi:type="dcterms:W3CDTF">2025-11-01T19:45:43Z</dcterms:modified>
</cp:coreProperties>
</file>