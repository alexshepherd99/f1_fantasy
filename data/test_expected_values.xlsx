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s\Dropbox\Dev\f1_fantasy\data\"/>
    </mc:Choice>
  </mc:AlternateContent>
  <xr:revisionPtr revIDLastSave="0" documentId="13_ncr:1_{FAEA5020-BCA3-48D0-B817-7563B33B44B4}" xr6:coauthVersionLast="47" xr6:coauthVersionMax="47" xr10:uidLastSave="{00000000-0000-0000-0000-000000000000}"/>
  <bookViews>
    <workbookView xWindow="-120" yWindow="-120" windowWidth="29040" windowHeight="15840" activeTab="2" xr2:uid="{B8F73BD9-0904-4916-81F8-0E4EA1678C10}"/>
  </bookViews>
  <sheets>
    <sheet name="2003 Expected" sheetId="2" r:id="rId1"/>
    <sheet name="2023 Actual" sheetId="1" r:id="rId2"/>
    <sheet name="2004 Expected" sheetId="3" r:id="rId3"/>
    <sheet name="2004 Actu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E4" i="3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3" i="3"/>
  <c r="E2" i="3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" i="2"/>
  <c r="U4" i="2"/>
  <c r="U5" i="2"/>
  <c r="U6" i="2" s="1"/>
  <c r="U7" i="2" s="1"/>
  <c r="U8" i="2" s="1"/>
  <c r="U9" i="2" s="1"/>
  <c r="U10" i="2" s="1"/>
  <c r="U11" i="2" s="1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3" i="2"/>
  <c r="U2" i="2"/>
  <c r="D2" i="3" a="1"/>
  <c r="D2" i="3" s="1"/>
  <c r="B2" i="3" a="1"/>
  <c r="B2" i="3" s="1"/>
  <c r="G2" i="3"/>
  <c r="G3" i="3" s="1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C6" i="4"/>
  <c r="X3" i="4"/>
  <c r="Y3" i="4"/>
  <c r="Z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C3" i="4"/>
  <c r="W2" i="2"/>
  <c r="W3" i="2" s="1"/>
  <c r="W4" i="2" s="1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T2" i="2" a="1"/>
  <c r="T2" i="2" s="1"/>
  <c r="R2" i="2" a="1"/>
  <c r="R2" i="2" s="1"/>
  <c r="S3" i="2" s="1"/>
  <c r="O2" i="2"/>
  <c r="O3" i="2" s="1"/>
  <c r="O4" i="2" s="1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G2" i="2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L2" i="2" a="1"/>
  <c r="L2" i="2" s="1"/>
  <c r="M2" i="2" s="1"/>
  <c r="D2" i="2" a="1"/>
  <c r="D2" i="2" s="1"/>
  <c r="E2" i="2" s="1"/>
  <c r="I2" i="2" s="1"/>
  <c r="J2" i="2" a="1"/>
  <c r="J2" i="2" s="1"/>
  <c r="K3" i="2" s="1"/>
  <c r="B2" i="2" a="1"/>
  <c r="B2" i="2" s="1"/>
  <c r="C3" i="2" s="1"/>
  <c r="H2" i="2" l="1"/>
  <c r="X2" i="2"/>
  <c r="X3" i="2"/>
  <c r="D25" i="3"/>
  <c r="D9" i="3"/>
  <c r="D23" i="3"/>
  <c r="D19" i="3"/>
  <c r="D15" i="3"/>
  <c r="D11" i="3"/>
  <c r="D7" i="3"/>
  <c r="D3" i="3"/>
  <c r="D21" i="3"/>
  <c r="D17" i="3"/>
  <c r="D13" i="3"/>
  <c r="D5" i="3"/>
  <c r="D24" i="3"/>
  <c r="D20" i="3"/>
  <c r="D16" i="3"/>
  <c r="D12" i="3"/>
  <c r="D8" i="3"/>
  <c r="D4" i="3"/>
  <c r="D22" i="3"/>
  <c r="D18" i="3"/>
  <c r="D14" i="3"/>
  <c r="D10" i="3"/>
  <c r="D6" i="3"/>
  <c r="B21" i="3"/>
  <c r="B17" i="3"/>
  <c r="B5" i="3"/>
  <c r="B24" i="3"/>
  <c r="B20" i="3"/>
  <c r="B16" i="3"/>
  <c r="B12" i="3"/>
  <c r="B8" i="3"/>
  <c r="B4" i="3"/>
  <c r="B9" i="3"/>
  <c r="B23" i="3"/>
  <c r="B19" i="3"/>
  <c r="B15" i="3"/>
  <c r="B11" i="3"/>
  <c r="B7" i="3"/>
  <c r="B3" i="3"/>
  <c r="B25" i="3"/>
  <c r="B13" i="3"/>
  <c r="B22" i="3"/>
  <c r="B18" i="3"/>
  <c r="B14" i="3"/>
  <c r="B10" i="3"/>
  <c r="B6" i="3"/>
  <c r="C3" i="3"/>
  <c r="T21" i="2"/>
  <c r="T17" i="2"/>
  <c r="T13" i="2"/>
  <c r="T9" i="2"/>
  <c r="T5" i="2"/>
  <c r="T20" i="2"/>
  <c r="T16" i="2"/>
  <c r="T12" i="2"/>
  <c r="T8" i="2"/>
  <c r="T4" i="2"/>
  <c r="T23" i="2"/>
  <c r="T19" i="2"/>
  <c r="T15" i="2"/>
  <c r="T11" i="2"/>
  <c r="T7" i="2"/>
  <c r="T3" i="2"/>
  <c r="T22" i="2"/>
  <c r="T18" i="2"/>
  <c r="T14" i="2"/>
  <c r="T10" i="2"/>
  <c r="T6" i="2"/>
  <c r="R21" i="2"/>
  <c r="R17" i="2"/>
  <c r="R13" i="2"/>
  <c r="R9" i="2"/>
  <c r="R5" i="2"/>
  <c r="R20" i="2"/>
  <c r="R16" i="2"/>
  <c r="R12" i="2"/>
  <c r="R8" i="2"/>
  <c r="R4" i="2"/>
  <c r="R23" i="2"/>
  <c r="R19" i="2"/>
  <c r="R15" i="2"/>
  <c r="R11" i="2"/>
  <c r="R7" i="2"/>
  <c r="R3" i="2"/>
  <c r="S4" i="2" s="1"/>
  <c r="R22" i="2"/>
  <c r="R18" i="2"/>
  <c r="R14" i="2"/>
  <c r="R10" i="2"/>
  <c r="R6" i="2"/>
  <c r="L17" i="2"/>
  <c r="L9" i="2"/>
  <c r="L5" i="2"/>
  <c r="L20" i="2"/>
  <c r="L12" i="2"/>
  <c r="L23" i="2"/>
  <c r="L19" i="2"/>
  <c r="L15" i="2"/>
  <c r="L11" i="2"/>
  <c r="L7" i="2"/>
  <c r="L3" i="2"/>
  <c r="M3" i="2" s="1"/>
  <c r="L21" i="2"/>
  <c r="L13" i="2"/>
  <c r="L16" i="2"/>
  <c r="L8" i="2"/>
  <c r="L4" i="2"/>
  <c r="L22" i="2"/>
  <c r="L18" i="2"/>
  <c r="L14" i="2"/>
  <c r="L10" i="2"/>
  <c r="L6" i="2"/>
  <c r="D21" i="2"/>
  <c r="D13" i="2"/>
  <c r="D5" i="2"/>
  <c r="D16" i="2"/>
  <c r="D4" i="2"/>
  <c r="D23" i="2"/>
  <c r="D19" i="2"/>
  <c r="D15" i="2"/>
  <c r="D11" i="2"/>
  <c r="D7" i="2"/>
  <c r="D3" i="2"/>
  <c r="H3" i="2" s="1"/>
  <c r="D17" i="2"/>
  <c r="D9" i="2"/>
  <c r="D20" i="2"/>
  <c r="D12" i="2"/>
  <c r="D8" i="2"/>
  <c r="D22" i="2"/>
  <c r="D18" i="2"/>
  <c r="D14" i="2"/>
  <c r="D10" i="2"/>
  <c r="D6" i="2"/>
  <c r="J13" i="2"/>
  <c r="J5" i="2"/>
  <c r="J16" i="2"/>
  <c r="J12" i="2"/>
  <c r="J8" i="2"/>
  <c r="J4" i="2"/>
  <c r="J23" i="2"/>
  <c r="J19" i="2"/>
  <c r="J15" i="2"/>
  <c r="J11" i="2"/>
  <c r="J7" i="2"/>
  <c r="J3" i="2"/>
  <c r="K4" i="2" s="1"/>
  <c r="J21" i="2"/>
  <c r="J17" i="2"/>
  <c r="J9" i="2"/>
  <c r="J20" i="2"/>
  <c r="J22" i="2"/>
  <c r="J18" i="2"/>
  <c r="J14" i="2"/>
  <c r="J10" i="2"/>
  <c r="J6" i="2"/>
  <c r="B21" i="2"/>
  <c r="B17" i="2"/>
  <c r="B13" i="2"/>
  <c r="B9" i="2"/>
  <c r="B5" i="2"/>
  <c r="B20" i="2"/>
  <c r="B16" i="2"/>
  <c r="B12" i="2"/>
  <c r="B8" i="2"/>
  <c r="B4" i="2"/>
  <c r="B23" i="2"/>
  <c r="B19" i="2"/>
  <c r="B15" i="2"/>
  <c r="B11" i="2"/>
  <c r="B7" i="2"/>
  <c r="B3" i="2"/>
  <c r="C4" i="2" s="1"/>
  <c r="B22" i="2"/>
  <c r="B18" i="2"/>
  <c r="B14" i="2"/>
  <c r="B10" i="2"/>
  <c r="B6" i="2"/>
  <c r="M4" i="2" l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S5" i="2"/>
  <c r="E3" i="2"/>
  <c r="H4" i="2"/>
  <c r="S6" i="2"/>
  <c r="X5" i="2"/>
  <c r="X4" i="2"/>
  <c r="C4" i="3"/>
  <c r="H3" i="3"/>
  <c r="K5" i="2"/>
  <c r="C5" i="2"/>
  <c r="H5" i="2" l="1"/>
  <c r="E4" i="2"/>
  <c r="I3" i="2"/>
  <c r="S7" i="2"/>
  <c r="X6" i="2"/>
  <c r="C5" i="3"/>
  <c r="K6" i="2"/>
  <c r="K7" i="2" s="1"/>
  <c r="C6" i="2"/>
  <c r="E5" i="2" l="1"/>
  <c r="I4" i="2"/>
  <c r="H6" i="2"/>
  <c r="S8" i="2"/>
  <c r="X7" i="2"/>
  <c r="C6" i="3"/>
  <c r="C7" i="2"/>
  <c r="K8" i="2"/>
  <c r="H7" i="2" l="1"/>
  <c r="E6" i="2"/>
  <c r="I5" i="2"/>
  <c r="S9" i="2"/>
  <c r="X8" i="2"/>
  <c r="C7" i="3"/>
  <c r="K9" i="2"/>
  <c r="C8" i="2"/>
  <c r="E7" i="2" l="1"/>
  <c r="I6" i="2"/>
  <c r="H8" i="2"/>
  <c r="S10" i="2"/>
  <c r="X9" i="2"/>
  <c r="C8" i="3"/>
  <c r="C9" i="2"/>
  <c r="K10" i="2"/>
  <c r="H9" i="2" l="1"/>
  <c r="E8" i="2"/>
  <c r="I7" i="2"/>
  <c r="S11" i="2"/>
  <c r="X10" i="2"/>
  <c r="C9" i="3"/>
  <c r="K11" i="2"/>
  <c r="C10" i="2"/>
  <c r="E9" i="2" l="1"/>
  <c r="I8" i="2"/>
  <c r="H10" i="2"/>
  <c r="S12" i="2"/>
  <c r="X11" i="2"/>
  <c r="C10" i="3"/>
  <c r="C11" i="2"/>
  <c r="K12" i="2"/>
  <c r="P12" i="2" l="1"/>
  <c r="Q12" i="2"/>
  <c r="E10" i="2"/>
  <c r="I9" i="2"/>
  <c r="H11" i="2"/>
  <c r="S13" i="2"/>
  <c r="X12" i="2"/>
  <c r="C11" i="3"/>
  <c r="K13" i="2"/>
  <c r="C12" i="2"/>
  <c r="P13" i="2" l="1"/>
  <c r="Q13" i="2"/>
  <c r="H12" i="2"/>
  <c r="E11" i="2"/>
  <c r="I10" i="2"/>
  <c r="S14" i="2"/>
  <c r="X13" i="2"/>
  <c r="C12" i="3"/>
  <c r="C13" i="2"/>
  <c r="K14" i="2"/>
  <c r="Q14" i="2" s="1"/>
  <c r="E12" i="2" l="1"/>
  <c r="I11" i="2"/>
  <c r="H13" i="2"/>
  <c r="S15" i="2"/>
  <c r="X14" i="2"/>
  <c r="C13" i="3"/>
  <c r="K15" i="2"/>
  <c r="Q15" i="2" s="1"/>
  <c r="C14" i="2"/>
  <c r="H14" i="2" l="1"/>
  <c r="E13" i="2"/>
  <c r="I12" i="2"/>
  <c r="S16" i="2"/>
  <c r="X15" i="2"/>
  <c r="C14" i="3"/>
  <c r="C15" i="2"/>
  <c r="K16" i="2"/>
  <c r="Q16" i="2" s="1"/>
  <c r="H15" i="2" l="1"/>
  <c r="E14" i="2"/>
  <c r="I13" i="2"/>
  <c r="S17" i="2"/>
  <c r="X16" i="2"/>
  <c r="C15" i="3"/>
  <c r="C16" i="2"/>
  <c r="K17" i="2"/>
  <c r="Q17" i="2" s="1"/>
  <c r="H16" i="2" l="1"/>
  <c r="E15" i="2"/>
  <c r="I14" i="2"/>
  <c r="S18" i="2"/>
  <c r="X17" i="2"/>
  <c r="C16" i="3"/>
  <c r="K18" i="2"/>
  <c r="Q18" i="2" s="1"/>
  <c r="C17" i="2"/>
  <c r="E16" i="2" l="1"/>
  <c r="I15" i="2"/>
  <c r="H17" i="2"/>
  <c r="S19" i="2"/>
  <c r="X18" i="2"/>
  <c r="C17" i="3"/>
  <c r="C18" i="2"/>
  <c r="K19" i="2"/>
  <c r="P19" i="2" l="1"/>
  <c r="Q19" i="2"/>
  <c r="H18" i="2"/>
  <c r="E17" i="2"/>
  <c r="I16" i="2"/>
  <c r="S20" i="2"/>
  <c r="X19" i="2"/>
  <c r="C18" i="3"/>
  <c r="K20" i="2"/>
  <c r="C19" i="2"/>
  <c r="P20" i="2" l="1"/>
  <c r="Q20" i="2"/>
  <c r="E18" i="2"/>
  <c r="I17" i="2"/>
  <c r="H19" i="2"/>
  <c r="S21" i="2"/>
  <c r="X20" i="2"/>
  <c r="C19" i="3"/>
  <c r="H18" i="3"/>
  <c r="C20" i="2"/>
  <c r="K21" i="2"/>
  <c r="P21" i="2" l="1"/>
  <c r="Q21" i="2"/>
  <c r="H20" i="2"/>
  <c r="E19" i="2"/>
  <c r="I18" i="2"/>
  <c r="S22" i="2"/>
  <c r="X21" i="2"/>
  <c r="C20" i="3"/>
  <c r="K22" i="2"/>
  <c r="C21" i="2"/>
  <c r="P22" i="2" l="1"/>
  <c r="Q22" i="2"/>
  <c r="E20" i="2"/>
  <c r="I19" i="2"/>
  <c r="H21" i="2"/>
  <c r="S23" i="2"/>
  <c r="X23" i="2" s="1"/>
  <c r="X22" i="2"/>
  <c r="C21" i="3"/>
  <c r="C22" i="2"/>
  <c r="K23" i="2"/>
  <c r="P23" i="2" l="1"/>
  <c r="Q23" i="2"/>
  <c r="H22" i="2"/>
  <c r="E21" i="2"/>
  <c r="I20" i="2"/>
  <c r="C22" i="3"/>
  <c r="C23" i="2"/>
  <c r="E22" i="2" l="1"/>
  <c r="I21" i="2"/>
  <c r="H23" i="2"/>
  <c r="C23" i="3"/>
  <c r="C24" i="3" s="1"/>
  <c r="C25" i="3" s="1"/>
  <c r="H22" i="3"/>
  <c r="E23" i="2" l="1"/>
  <c r="I23" i="2" s="1"/>
  <c r="I22" i="2"/>
</calcChain>
</file>

<file path=xl/sharedStrings.xml><?xml version="1.0" encoding="utf-8"?>
<sst xmlns="http://schemas.openxmlformats.org/spreadsheetml/2006/main" count="54" uniqueCount="40">
  <si>
    <t>VER</t>
  </si>
  <si>
    <t>RED</t>
  </si>
  <si>
    <t>RIC</t>
  </si>
  <si>
    <t>ALT</t>
  </si>
  <si>
    <t>VER-RED-2003-points</t>
  </si>
  <si>
    <t>VER-RED-2003-points-cum</t>
  </si>
  <si>
    <t>Race</t>
  </si>
  <si>
    <t>RIC-ALT-2003-points</t>
  </si>
  <si>
    <t>RIC-ALT-2003-points-cum</t>
  </si>
  <si>
    <t>VER-RED-2003-ppm</t>
  </si>
  <si>
    <t>VER-RED-2003-price</t>
  </si>
  <si>
    <t>RIC-ALT-2003-price</t>
  </si>
  <si>
    <t>VER-RED-2003-raced</t>
  </si>
  <si>
    <t>VER-RED-2003-raced-cum</t>
  </si>
  <si>
    <t>RIC-ALT-2003-raced</t>
  </si>
  <si>
    <t>RIC-ALT-2003-raced-cum</t>
  </si>
  <si>
    <t>RIC-ALT-2003-ppm</t>
  </si>
  <si>
    <t>RED-2003-points</t>
  </si>
  <si>
    <t>RED-2003-points-cum</t>
  </si>
  <si>
    <t>RED-2003-price</t>
  </si>
  <si>
    <t>RED-2003-raced</t>
  </si>
  <si>
    <t>RED-2003-raced-cum</t>
  </si>
  <si>
    <t>RED-2003-ppm</t>
  </si>
  <si>
    <t>BEA</t>
  </si>
  <si>
    <t>FER</t>
  </si>
  <si>
    <t>HAA</t>
  </si>
  <si>
    <t>BEA-2003-points-cum</t>
  </si>
  <si>
    <t>BEA-2003-points-total</t>
  </si>
  <si>
    <t>BEA-2003-price-total</t>
  </si>
  <si>
    <t>BEA-2003-raced</t>
  </si>
  <si>
    <t>BEA-2003-raced-cum</t>
  </si>
  <si>
    <t>BEA-2003-ppm</t>
  </si>
  <si>
    <t>VER-RED-2003-ppm-alt</t>
  </si>
  <si>
    <t>VER-RED-2003-price-cum</t>
  </si>
  <si>
    <t>RIC-ALT-2003-price-cum</t>
  </si>
  <si>
    <t>RIC-ALT-2003-ppm-alt</t>
  </si>
  <si>
    <t>RED-2003-price-cum</t>
  </si>
  <si>
    <t>RED-2003-ppm-alt</t>
  </si>
  <si>
    <t>BEA-2003-price-total-cum</t>
  </si>
  <si>
    <t>BEA-2003-ppm-alt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</si>
</sst>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name val="Inte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E5DB-5BF7-41CE-BB16-C410E9F3C59E}">
  <dimension ref="A1:Y23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Q14" sqref="Q13:Q14"/>
    </sheetView>
  </sheetViews>
  <sheetFormatPr defaultRowHeight="12.75"/>
  <cols>
    <col min="1" max="1" width="4.7109375" style="3" bestFit="1" customWidth="1"/>
    <col min="2" max="2" width="17.85546875" style="3" bestFit="1" customWidth="1"/>
    <col min="3" max="3" width="21.85546875" style="3" bestFit="1" customWidth="1"/>
    <col min="4" max="4" width="16.7109375" style="3" bestFit="1" customWidth="1"/>
    <col min="5" max="5" width="20.7109375" style="3" bestFit="1" customWidth="1"/>
    <col min="6" max="6" width="17.28515625" style="3" bestFit="1" customWidth="1"/>
    <col min="7" max="7" width="21.140625" style="3" bestFit="1" customWidth="1"/>
    <col min="8" max="8" width="16.140625" style="3" bestFit="1" customWidth="1"/>
    <col min="9" max="9" width="19.140625" style="3" bestFit="1" customWidth="1"/>
    <col min="10" max="10" width="17" style="3" bestFit="1" customWidth="1"/>
    <col min="11" max="11" width="21" style="3" bestFit="1" customWidth="1"/>
    <col min="12" max="12" width="16" style="3" bestFit="1" customWidth="1"/>
    <col min="13" max="13" width="16" style="3" customWidth="1"/>
    <col min="14" max="14" width="16.42578125" style="3" bestFit="1" customWidth="1"/>
    <col min="15" max="15" width="20.42578125" style="3" bestFit="1" customWidth="1"/>
    <col min="16" max="16" width="15.42578125" style="3" bestFit="1" customWidth="1"/>
    <col min="17" max="17" width="19.28515625" style="3" customWidth="1"/>
    <col min="18" max="18" width="14.140625" style="3" bestFit="1" customWidth="1"/>
    <col min="19" max="19" width="18.140625" style="3" bestFit="1" customWidth="1"/>
    <col min="20" max="20" width="13.140625" style="3" bestFit="1" customWidth="1"/>
    <col min="21" max="21" width="13.140625" style="3" customWidth="1"/>
    <col min="22" max="22" width="13.5703125" style="3" bestFit="1" customWidth="1"/>
    <col min="23" max="23" width="17.5703125" style="3" bestFit="1" customWidth="1"/>
    <col min="24" max="24" width="12.7109375" style="3" bestFit="1" customWidth="1"/>
    <col min="25" max="16384" width="9.140625" style="3"/>
  </cols>
  <sheetData>
    <row r="1" spans="1:25" s="4" customFormat="1">
      <c r="A1" s="4" t="s">
        <v>6</v>
      </c>
      <c r="B1" s="4" t="s">
        <v>4</v>
      </c>
      <c r="C1" s="4" t="s">
        <v>5</v>
      </c>
      <c r="D1" s="4" t="s">
        <v>10</v>
      </c>
      <c r="E1" s="4" t="s">
        <v>33</v>
      </c>
      <c r="F1" s="4" t="s">
        <v>12</v>
      </c>
      <c r="G1" s="4" t="s">
        <v>13</v>
      </c>
      <c r="H1" s="4" t="s">
        <v>9</v>
      </c>
      <c r="I1" s="4" t="s">
        <v>32</v>
      </c>
      <c r="J1" s="4" t="s">
        <v>7</v>
      </c>
      <c r="K1" s="4" t="s">
        <v>8</v>
      </c>
      <c r="L1" s="4" t="s">
        <v>11</v>
      </c>
      <c r="M1" s="4" t="s">
        <v>34</v>
      </c>
      <c r="N1" s="4" t="s">
        <v>14</v>
      </c>
      <c r="O1" s="4" t="s">
        <v>15</v>
      </c>
      <c r="P1" s="4" t="s">
        <v>16</v>
      </c>
      <c r="Q1" s="4" t="s">
        <v>35</v>
      </c>
      <c r="R1" s="4" t="s">
        <v>17</v>
      </c>
      <c r="S1" s="4" t="s">
        <v>18</v>
      </c>
      <c r="T1" s="4" t="s">
        <v>19</v>
      </c>
      <c r="U1" s="4" t="s">
        <v>36</v>
      </c>
      <c r="V1" s="4" t="s">
        <v>20</v>
      </c>
      <c r="W1" s="4" t="s">
        <v>21</v>
      </c>
      <c r="X1" s="4" t="s">
        <v>22</v>
      </c>
      <c r="Y1" s="4" t="s">
        <v>37</v>
      </c>
    </row>
    <row r="2" spans="1:25">
      <c r="A2" s="3">
        <v>1</v>
      </c>
      <c r="B2" s="3">
        <f t="array" ref="B2:B23">TRANSPOSE('2023 Actual'!C1:X1)</f>
        <v>35</v>
      </c>
      <c r="C2" s="3">
        <v>0</v>
      </c>
      <c r="D2" s="3">
        <f t="array" ref="D2:D23">TRANSPOSE('2023 Actual'!C2:X2)</f>
        <v>26.9</v>
      </c>
      <c r="E2" s="3">
        <f>D2</f>
        <v>26.9</v>
      </c>
      <c r="F2" s="3">
        <v>1</v>
      </c>
      <c r="G2" s="3">
        <f>F2</f>
        <v>1</v>
      </c>
      <c r="H2" s="3">
        <f>C2/D2/G2</f>
        <v>0</v>
      </c>
      <c r="I2" s="3">
        <f>C2/E2</f>
        <v>0</v>
      </c>
      <c r="J2" s="3">
        <f t="array" ref="J2:J23">TRANSPOSE('2023 Actual'!C3:X3)</f>
        <v>0</v>
      </c>
      <c r="K2" s="3">
        <v>0</v>
      </c>
      <c r="L2" s="3">
        <f t="array" ref="L2:L23">TRANSPOSE('2023 Actual'!C4:X4)</f>
        <v>0</v>
      </c>
      <c r="M2" s="3">
        <f>L2</f>
        <v>0</v>
      </c>
      <c r="N2" s="3">
        <v>0</v>
      </c>
      <c r="O2" s="3">
        <f>N2</f>
        <v>0</v>
      </c>
      <c r="R2" s="3">
        <f t="array" ref="R2:R23">TRANSPOSE('2023 Actual'!C5:X5)</f>
        <v>78</v>
      </c>
      <c r="S2" s="3">
        <v>0</v>
      </c>
      <c r="T2" s="3">
        <f t="array" ref="T2:T23">TRANSPOSE('2023 Actual'!C6:X6)</f>
        <v>27.2</v>
      </c>
      <c r="U2" s="3">
        <f>T2</f>
        <v>27.2</v>
      </c>
      <c r="V2" s="3">
        <v>1</v>
      </c>
      <c r="W2" s="3">
        <f>V2</f>
        <v>1</v>
      </c>
      <c r="X2" s="3">
        <f>S2/T2/W2</f>
        <v>0</v>
      </c>
      <c r="Y2" s="3">
        <f>S2/U2</f>
        <v>0</v>
      </c>
    </row>
    <row r="3" spans="1:25">
      <c r="A3" s="3">
        <v>2</v>
      </c>
      <c r="B3" s="3">
        <v>61</v>
      </c>
      <c r="C3" s="3">
        <f>C2+B2</f>
        <v>35</v>
      </c>
      <c r="D3" s="3">
        <v>27</v>
      </c>
      <c r="E3" s="3">
        <f>E2+D3</f>
        <v>53.9</v>
      </c>
      <c r="F3" s="3">
        <v>1</v>
      </c>
      <c r="G3" s="3">
        <f>G2+F3</f>
        <v>2</v>
      </c>
      <c r="H3" s="3">
        <f t="shared" ref="H3:H23" si="0">C3/D3/G3</f>
        <v>0.64814814814814814</v>
      </c>
      <c r="I3" s="3">
        <f t="shared" ref="I3:I23" si="1">C3/E3</f>
        <v>0.64935064935064934</v>
      </c>
      <c r="J3" s="3">
        <v>0</v>
      </c>
      <c r="K3" s="3">
        <f>J2+K2</f>
        <v>0</v>
      </c>
      <c r="L3" s="3">
        <v>0</v>
      </c>
      <c r="M3" s="3">
        <f>M2+L3</f>
        <v>0</v>
      </c>
      <c r="N3" s="3">
        <v>0</v>
      </c>
      <c r="O3" s="3">
        <f>O2+N3</f>
        <v>0</v>
      </c>
      <c r="R3" s="3">
        <v>95</v>
      </c>
      <c r="S3" s="3">
        <f>R2+S2</f>
        <v>78</v>
      </c>
      <c r="T3" s="3">
        <v>27.3</v>
      </c>
      <c r="U3" s="3">
        <f>U2+T3</f>
        <v>54.5</v>
      </c>
      <c r="V3" s="3">
        <v>1</v>
      </c>
      <c r="W3" s="3">
        <f>W2+V3</f>
        <v>2</v>
      </c>
      <c r="X3" s="3">
        <f t="shared" ref="X3:X23" si="2">S3/T3/W3</f>
        <v>1.4285714285714286</v>
      </c>
      <c r="Y3" s="3">
        <f t="shared" ref="Y3:Y23" si="3">S3/U3</f>
        <v>1.4311926605504588</v>
      </c>
    </row>
    <row r="4" spans="1:25">
      <c r="A4" s="3">
        <v>3</v>
      </c>
      <c r="B4" s="3">
        <v>36</v>
      </c>
      <c r="C4" s="3">
        <f t="shared" ref="C4:C23" si="4">C3+B3</f>
        <v>96</v>
      </c>
      <c r="D4" s="3">
        <v>27.1</v>
      </c>
      <c r="E4" s="3">
        <f t="shared" ref="E4:E23" si="5">E3+D4</f>
        <v>81</v>
      </c>
      <c r="F4" s="3">
        <v>1</v>
      </c>
      <c r="G4" s="3">
        <f t="shared" ref="G4:G23" si="6">G3+F4</f>
        <v>3</v>
      </c>
      <c r="H4" s="3">
        <f t="shared" si="0"/>
        <v>1.1808118081180812</v>
      </c>
      <c r="I4" s="3">
        <f t="shared" si="1"/>
        <v>1.1851851851851851</v>
      </c>
      <c r="J4" s="3">
        <v>0</v>
      </c>
      <c r="K4" s="3">
        <f t="shared" ref="K4:K23" si="7">J3+K3</f>
        <v>0</v>
      </c>
      <c r="L4" s="3">
        <v>0</v>
      </c>
      <c r="M4" s="3">
        <f t="shared" ref="M4:M23" si="8">M3+L4</f>
        <v>0</v>
      </c>
      <c r="N4" s="3">
        <v>0</v>
      </c>
      <c r="O4" s="3">
        <f t="shared" ref="O4:O23" si="9">O3+N4</f>
        <v>0</v>
      </c>
      <c r="R4" s="3">
        <v>98</v>
      </c>
      <c r="S4" s="3">
        <f t="shared" ref="S4:S23" si="10">R3+S3</f>
        <v>173</v>
      </c>
      <c r="T4" s="3">
        <v>27.4</v>
      </c>
      <c r="U4" s="3">
        <f t="shared" ref="U4:U23" si="11">U3+T4</f>
        <v>81.900000000000006</v>
      </c>
      <c r="V4" s="3">
        <v>1</v>
      </c>
      <c r="W4" s="3">
        <f t="shared" ref="W4:W23" si="12">W3+V4</f>
        <v>3</v>
      </c>
      <c r="X4" s="3">
        <f t="shared" si="2"/>
        <v>2.1046228710462289</v>
      </c>
      <c r="Y4" s="3">
        <f t="shared" si="3"/>
        <v>2.1123321123321124</v>
      </c>
    </row>
    <row r="5" spans="1:25">
      <c r="A5" s="3">
        <v>4</v>
      </c>
      <c r="B5" s="3">
        <v>37</v>
      </c>
      <c r="C5" s="3">
        <f t="shared" si="4"/>
        <v>132</v>
      </c>
      <c r="D5" s="3">
        <v>27.2</v>
      </c>
      <c r="E5" s="3">
        <f t="shared" si="5"/>
        <v>108.2</v>
      </c>
      <c r="F5" s="3">
        <v>1</v>
      </c>
      <c r="G5" s="3">
        <f t="shared" si="6"/>
        <v>4</v>
      </c>
      <c r="H5" s="3">
        <f t="shared" si="0"/>
        <v>1.2132352941176472</v>
      </c>
      <c r="I5" s="3">
        <f t="shared" si="1"/>
        <v>1.2199630314232901</v>
      </c>
      <c r="J5" s="3">
        <v>0</v>
      </c>
      <c r="K5" s="3">
        <f t="shared" si="7"/>
        <v>0</v>
      </c>
      <c r="L5" s="3">
        <v>0</v>
      </c>
      <c r="M5" s="3">
        <f t="shared" si="8"/>
        <v>0</v>
      </c>
      <c r="N5" s="3">
        <v>0</v>
      </c>
      <c r="O5" s="3">
        <f t="shared" si="9"/>
        <v>0</v>
      </c>
      <c r="R5" s="3">
        <v>108</v>
      </c>
      <c r="S5" s="3">
        <f t="shared" si="10"/>
        <v>271</v>
      </c>
      <c r="T5" s="3">
        <v>27.5</v>
      </c>
      <c r="U5" s="3">
        <f t="shared" si="11"/>
        <v>109.4</v>
      </c>
      <c r="V5" s="3">
        <v>1</v>
      </c>
      <c r="W5" s="3">
        <f t="shared" si="12"/>
        <v>4</v>
      </c>
      <c r="X5" s="3">
        <f t="shared" si="2"/>
        <v>2.4636363636363638</v>
      </c>
      <c r="Y5" s="3">
        <f t="shared" si="3"/>
        <v>2.4771480804387567</v>
      </c>
    </row>
    <row r="6" spans="1:25">
      <c r="A6" s="3">
        <v>5</v>
      </c>
      <c r="B6" s="3">
        <v>64</v>
      </c>
      <c r="C6" s="3">
        <f t="shared" si="4"/>
        <v>169</v>
      </c>
      <c r="D6" s="3">
        <v>27.3</v>
      </c>
      <c r="E6" s="3">
        <f t="shared" si="5"/>
        <v>135.5</v>
      </c>
      <c r="F6" s="3">
        <v>1</v>
      </c>
      <c r="G6" s="3">
        <f t="shared" si="6"/>
        <v>5</v>
      </c>
      <c r="H6" s="3">
        <f t="shared" si="0"/>
        <v>1.2380952380952381</v>
      </c>
      <c r="I6" s="3">
        <f t="shared" si="1"/>
        <v>1.2472324723247232</v>
      </c>
      <c r="J6" s="3">
        <v>0</v>
      </c>
      <c r="K6" s="3">
        <f t="shared" si="7"/>
        <v>0</v>
      </c>
      <c r="L6" s="3">
        <v>0</v>
      </c>
      <c r="M6" s="3">
        <f t="shared" si="8"/>
        <v>0</v>
      </c>
      <c r="N6" s="3">
        <v>0</v>
      </c>
      <c r="O6" s="3">
        <f t="shared" si="9"/>
        <v>0</v>
      </c>
      <c r="R6" s="3">
        <v>97</v>
      </c>
      <c r="S6" s="3">
        <f t="shared" si="10"/>
        <v>379</v>
      </c>
      <c r="T6" s="3">
        <v>27.6</v>
      </c>
      <c r="U6" s="3">
        <f t="shared" si="11"/>
        <v>137</v>
      </c>
      <c r="V6" s="3">
        <v>1</v>
      </c>
      <c r="W6" s="3">
        <f t="shared" si="12"/>
        <v>5</v>
      </c>
      <c r="X6" s="3">
        <f t="shared" si="2"/>
        <v>2.7463768115942027</v>
      </c>
      <c r="Y6" s="3">
        <f t="shared" si="3"/>
        <v>2.7664233576642334</v>
      </c>
    </row>
    <row r="7" spans="1:25">
      <c r="A7" s="3">
        <v>6</v>
      </c>
      <c r="B7" s="3">
        <v>35</v>
      </c>
      <c r="C7" s="3">
        <f t="shared" si="4"/>
        <v>233</v>
      </c>
      <c r="D7" s="3">
        <v>27.4</v>
      </c>
      <c r="E7" s="3">
        <f t="shared" si="5"/>
        <v>162.9</v>
      </c>
      <c r="F7" s="3">
        <v>1</v>
      </c>
      <c r="G7" s="3">
        <f t="shared" si="6"/>
        <v>6</v>
      </c>
      <c r="H7" s="3">
        <f t="shared" si="0"/>
        <v>1.4172749391727495</v>
      </c>
      <c r="I7" s="3">
        <f t="shared" si="1"/>
        <v>1.4303253529772866</v>
      </c>
      <c r="J7" s="3">
        <v>0</v>
      </c>
      <c r="K7" s="3">
        <f t="shared" si="7"/>
        <v>0</v>
      </c>
      <c r="L7" s="3">
        <v>0</v>
      </c>
      <c r="M7" s="3">
        <f t="shared" si="8"/>
        <v>0</v>
      </c>
      <c r="N7" s="3">
        <v>0</v>
      </c>
      <c r="O7" s="3">
        <f t="shared" si="9"/>
        <v>0</v>
      </c>
      <c r="R7" s="3">
        <v>63</v>
      </c>
      <c r="S7" s="3">
        <f t="shared" si="10"/>
        <v>476</v>
      </c>
      <c r="T7" s="3">
        <v>27.7</v>
      </c>
      <c r="U7" s="3">
        <f t="shared" si="11"/>
        <v>164.7</v>
      </c>
      <c r="V7" s="3">
        <v>1</v>
      </c>
      <c r="W7" s="3">
        <f t="shared" si="12"/>
        <v>6</v>
      </c>
      <c r="X7" s="3">
        <f t="shared" si="2"/>
        <v>2.8640192539109504</v>
      </c>
      <c r="Y7" s="3">
        <f t="shared" si="3"/>
        <v>2.8901032179720705</v>
      </c>
    </row>
    <row r="8" spans="1:25">
      <c r="A8" s="3">
        <v>7</v>
      </c>
      <c r="B8" s="3">
        <v>46</v>
      </c>
      <c r="C8" s="3">
        <f t="shared" si="4"/>
        <v>268</v>
      </c>
      <c r="D8" s="3">
        <v>27.5</v>
      </c>
      <c r="E8" s="3">
        <f t="shared" si="5"/>
        <v>190.4</v>
      </c>
      <c r="F8" s="3">
        <v>1</v>
      </c>
      <c r="G8" s="3">
        <f t="shared" si="6"/>
        <v>7</v>
      </c>
      <c r="H8" s="3">
        <f t="shared" si="0"/>
        <v>1.3922077922077922</v>
      </c>
      <c r="I8" s="3">
        <f t="shared" si="1"/>
        <v>1.4075630252100839</v>
      </c>
      <c r="J8" s="3">
        <v>0</v>
      </c>
      <c r="K8" s="3">
        <f t="shared" si="7"/>
        <v>0</v>
      </c>
      <c r="L8" s="3">
        <v>0</v>
      </c>
      <c r="M8" s="3">
        <f t="shared" si="8"/>
        <v>0</v>
      </c>
      <c r="N8" s="3">
        <v>0</v>
      </c>
      <c r="O8" s="3">
        <f t="shared" si="9"/>
        <v>0</v>
      </c>
      <c r="R8" s="3">
        <v>96</v>
      </c>
      <c r="S8" s="3">
        <f t="shared" si="10"/>
        <v>539</v>
      </c>
      <c r="T8" s="3">
        <v>27.8</v>
      </c>
      <c r="U8" s="3">
        <f t="shared" si="11"/>
        <v>192.5</v>
      </c>
      <c r="V8" s="3">
        <v>1</v>
      </c>
      <c r="W8" s="3">
        <f t="shared" si="12"/>
        <v>7</v>
      </c>
      <c r="X8" s="3">
        <f t="shared" si="2"/>
        <v>2.7697841726618706</v>
      </c>
      <c r="Y8" s="3">
        <f t="shared" si="3"/>
        <v>2.8</v>
      </c>
    </row>
    <row r="9" spans="1:25">
      <c r="A9" s="3">
        <v>8</v>
      </c>
      <c r="B9" s="3">
        <v>35</v>
      </c>
      <c r="C9" s="3">
        <f t="shared" si="4"/>
        <v>314</v>
      </c>
      <c r="D9" s="3">
        <v>27.6</v>
      </c>
      <c r="E9" s="3">
        <f t="shared" si="5"/>
        <v>218</v>
      </c>
      <c r="F9" s="3">
        <v>1</v>
      </c>
      <c r="G9" s="3">
        <f t="shared" si="6"/>
        <v>8</v>
      </c>
      <c r="H9" s="3">
        <f t="shared" si="0"/>
        <v>1.4221014492753623</v>
      </c>
      <c r="I9" s="3">
        <f t="shared" si="1"/>
        <v>1.4403669724770642</v>
      </c>
      <c r="J9" s="3">
        <v>0</v>
      </c>
      <c r="K9" s="3">
        <f t="shared" si="7"/>
        <v>0</v>
      </c>
      <c r="L9" s="3">
        <v>0</v>
      </c>
      <c r="M9" s="3">
        <f t="shared" si="8"/>
        <v>0</v>
      </c>
      <c r="N9" s="3">
        <v>0</v>
      </c>
      <c r="O9" s="3">
        <f t="shared" si="9"/>
        <v>0</v>
      </c>
      <c r="R9" s="3">
        <v>86</v>
      </c>
      <c r="S9" s="3">
        <f t="shared" si="10"/>
        <v>635</v>
      </c>
      <c r="T9" s="3">
        <v>27.9</v>
      </c>
      <c r="U9" s="3">
        <f t="shared" si="11"/>
        <v>220.4</v>
      </c>
      <c r="V9" s="3">
        <v>1</v>
      </c>
      <c r="W9" s="3">
        <f t="shared" si="12"/>
        <v>8</v>
      </c>
      <c r="X9" s="3">
        <f t="shared" si="2"/>
        <v>2.8449820788530467</v>
      </c>
      <c r="Y9" s="3">
        <f t="shared" si="3"/>
        <v>2.8811252268602541</v>
      </c>
    </row>
    <row r="10" spans="1:25">
      <c r="A10" s="3">
        <v>9</v>
      </c>
      <c r="B10" s="3">
        <v>56</v>
      </c>
      <c r="C10" s="3">
        <f t="shared" si="4"/>
        <v>349</v>
      </c>
      <c r="D10" s="3">
        <v>27.8</v>
      </c>
      <c r="E10" s="3">
        <f t="shared" si="5"/>
        <v>245.8</v>
      </c>
      <c r="F10" s="3">
        <v>1</v>
      </c>
      <c r="G10" s="3">
        <f t="shared" si="6"/>
        <v>9</v>
      </c>
      <c r="H10" s="3">
        <f t="shared" si="0"/>
        <v>1.3948840927258193</v>
      </c>
      <c r="I10" s="3">
        <f t="shared" si="1"/>
        <v>1.4198535394629779</v>
      </c>
      <c r="J10" s="3">
        <v>0</v>
      </c>
      <c r="K10" s="3">
        <f t="shared" si="7"/>
        <v>0</v>
      </c>
      <c r="L10" s="3">
        <v>0</v>
      </c>
      <c r="M10" s="3">
        <f t="shared" si="8"/>
        <v>0</v>
      </c>
      <c r="N10" s="3">
        <v>0</v>
      </c>
      <c r="O10" s="3">
        <f t="shared" si="9"/>
        <v>0</v>
      </c>
      <c r="R10" s="3">
        <v>112</v>
      </c>
      <c r="S10" s="3">
        <f t="shared" si="10"/>
        <v>721</v>
      </c>
      <c r="T10" s="3">
        <v>28.1</v>
      </c>
      <c r="U10" s="3">
        <f t="shared" si="11"/>
        <v>248.5</v>
      </c>
      <c r="V10" s="3">
        <v>1</v>
      </c>
      <c r="W10" s="3">
        <f t="shared" si="12"/>
        <v>9</v>
      </c>
      <c r="X10" s="3">
        <f t="shared" si="2"/>
        <v>2.8509292210359822</v>
      </c>
      <c r="Y10" s="3">
        <f t="shared" si="3"/>
        <v>2.9014084507042255</v>
      </c>
    </row>
    <row r="11" spans="1:25">
      <c r="A11" s="3">
        <v>10</v>
      </c>
      <c r="B11" s="3">
        <v>46</v>
      </c>
      <c r="C11" s="3">
        <f t="shared" si="4"/>
        <v>405</v>
      </c>
      <c r="D11" s="3">
        <v>27.9</v>
      </c>
      <c r="E11" s="3">
        <f t="shared" si="5"/>
        <v>273.7</v>
      </c>
      <c r="F11" s="3">
        <v>1</v>
      </c>
      <c r="G11" s="3">
        <f t="shared" si="6"/>
        <v>10</v>
      </c>
      <c r="H11" s="3">
        <f t="shared" si="0"/>
        <v>1.4516129032258065</v>
      </c>
      <c r="I11" s="3">
        <f t="shared" si="1"/>
        <v>1.4797223237120936</v>
      </c>
      <c r="J11" s="3">
        <v>0</v>
      </c>
      <c r="K11" s="3">
        <f t="shared" si="7"/>
        <v>0</v>
      </c>
      <c r="L11" s="3">
        <v>0</v>
      </c>
      <c r="M11" s="3">
        <f t="shared" si="8"/>
        <v>0</v>
      </c>
      <c r="N11" s="3">
        <v>0</v>
      </c>
      <c r="O11" s="3">
        <f t="shared" si="9"/>
        <v>0</v>
      </c>
      <c r="R11" s="3">
        <v>77</v>
      </c>
      <c r="S11" s="3">
        <f t="shared" si="10"/>
        <v>833</v>
      </c>
      <c r="T11" s="3">
        <v>28.2</v>
      </c>
      <c r="U11" s="3">
        <f t="shared" si="11"/>
        <v>276.7</v>
      </c>
      <c r="V11" s="3">
        <v>1</v>
      </c>
      <c r="W11" s="3">
        <f t="shared" si="12"/>
        <v>10</v>
      </c>
      <c r="X11" s="3">
        <f t="shared" si="2"/>
        <v>2.9539007092198579</v>
      </c>
      <c r="Y11" s="3">
        <f t="shared" si="3"/>
        <v>3.0104806649801228</v>
      </c>
    </row>
    <row r="12" spans="1:25">
      <c r="A12" s="3">
        <v>11</v>
      </c>
      <c r="B12" s="3">
        <v>46</v>
      </c>
      <c r="C12" s="3">
        <f t="shared" si="4"/>
        <v>451</v>
      </c>
      <c r="D12" s="3">
        <v>28.1</v>
      </c>
      <c r="E12" s="3">
        <f t="shared" si="5"/>
        <v>301.8</v>
      </c>
      <c r="F12" s="3">
        <v>1</v>
      </c>
      <c r="G12" s="3">
        <f t="shared" si="6"/>
        <v>11</v>
      </c>
      <c r="H12" s="3">
        <f t="shared" si="0"/>
        <v>1.4590747330960854</v>
      </c>
      <c r="I12" s="3">
        <f t="shared" si="1"/>
        <v>1.494367130550033</v>
      </c>
      <c r="J12" s="3">
        <v>2</v>
      </c>
      <c r="K12" s="3">
        <f t="shared" si="7"/>
        <v>0</v>
      </c>
      <c r="L12" s="3">
        <v>4.5</v>
      </c>
      <c r="M12" s="3">
        <f t="shared" si="8"/>
        <v>4.5</v>
      </c>
      <c r="N12" s="3">
        <v>1</v>
      </c>
      <c r="O12" s="3">
        <f t="shared" si="9"/>
        <v>1</v>
      </c>
      <c r="P12" s="3">
        <f t="shared" ref="P12:P23" si="13">K12/L12/O12</f>
        <v>0</v>
      </c>
      <c r="Q12" s="3">
        <f t="shared" ref="Q12:Q23" si="14">K12/M12</f>
        <v>0</v>
      </c>
      <c r="R12" s="3">
        <v>95</v>
      </c>
      <c r="S12" s="3">
        <f t="shared" si="10"/>
        <v>910</v>
      </c>
      <c r="T12" s="3">
        <v>28.4</v>
      </c>
      <c r="U12" s="3">
        <f t="shared" si="11"/>
        <v>305.09999999999997</v>
      </c>
      <c r="V12" s="3">
        <v>1</v>
      </c>
      <c r="W12" s="3">
        <f t="shared" si="12"/>
        <v>11</v>
      </c>
      <c r="X12" s="3">
        <f t="shared" si="2"/>
        <v>2.9129321382842508</v>
      </c>
      <c r="Y12" s="3">
        <f t="shared" si="3"/>
        <v>2.9826286463454608</v>
      </c>
    </row>
    <row r="13" spans="1:25">
      <c r="A13" s="3">
        <v>12</v>
      </c>
      <c r="B13" s="3">
        <v>68</v>
      </c>
      <c r="C13" s="3">
        <f t="shared" si="4"/>
        <v>497</v>
      </c>
      <c r="D13" s="3">
        <v>28.3</v>
      </c>
      <c r="E13" s="3">
        <f t="shared" si="5"/>
        <v>330.1</v>
      </c>
      <c r="F13" s="3">
        <v>1</v>
      </c>
      <c r="G13" s="3">
        <f t="shared" si="6"/>
        <v>12</v>
      </c>
      <c r="H13" s="3">
        <f t="shared" si="0"/>
        <v>1.4634864546525324</v>
      </c>
      <c r="I13" s="3">
        <f t="shared" si="1"/>
        <v>1.5056043623144502</v>
      </c>
      <c r="J13" s="3">
        <v>7</v>
      </c>
      <c r="K13" s="3">
        <f t="shared" si="7"/>
        <v>2</v>
      </c>
      <c r="L13" s="3">
        <v>4.5</v>
      </c>
      <c r="M13" s="3">
        <f t="shared" si="8"/>
        <v>9</v>
      </c>
      <c r="N13" s="3">
        <v>1</v>
      </c>
      <c r="O13" s="3">
        <f t="shared" si="9"/>
        <v>2</v>
      </c>
      <c r="P13" s="3">
        <f t="shared" si="13"/>
        <v>0.22222222222222221</v>
      </c>
      <c r="Q13" s="3">
        <f t="shared" si="14"/>
        <v>0.22222222222222221</v>
      </c>
      <c r="R13" s="3">
        <v>80</v>
      </c>
      <c r="S13" s="3">
        <f t="shared" si="10"/>
        <v>1005</v>
      </c>
      <c r="T13" s="3">
        <v>28.6</v>
      </c>
      <c r="U13" s="3">
        <f t="shared" si="11"/>
        <v>333.7</v>
      </c>
      <c r="V13" s="3">
        <v>1</v>
      </c>
      <c r="W13" s="3">
        <f t="shared" si="12"/>
        <v>12</v>
      </c>
      <c r="X13" s="3">
        <f t="shared" si="2"/>
        <v>2.9283216783216783</v>
      </c>
      <c r="Y13" s="3">
        <f t="shared" si="3"/>
        <v>3.0116871441414443</v>
      </c>
    </row>
    <row r="14" spans="1:25">
      <c r="A14" s="3">
        <v>13</v>
      </c>
      <c r="B14" s="3">
        <v>46</v>
      </c>
      <c r="C14" s="3">
        <f t="shared" si="4"/>
        <v>565</v>
      </c>
      <c r="D14" s="3">
        <v>28.5</v>
      </c>
      <c r="E14" s="3">
        <f t="shared" si="5"/>
        <v>358.6</v>
      </c>
      <c r="F14" s="3">
        <v>1</v>
      </c>
      <c r="G14" s="3">
        <f t="shared" si="6"/>
        <v>13</v>
      </c>
      <c r="H14" s="3">
        <f t="shared" si="0"/>
        <v>1.524966261808367</v>
      </c>
      <c r="I14" s="3">
        <f t="shared" si="1"/>
        <v>1.5755716675962075</v>
      </c>
      <c r="J14" s="3">
        <v>0</v>
      </c>
      <c r="K14" s="3">
        <f t="shared" si="7"/>
        <v>9</v>
      </c>
      <c r="L14" s="3">
        <v>0</v>
      </c>
      <c r="M14" s="3">
        <f t="shared" si="8"/>
        <v>9</v>
      </c>
      <c r="N14" s="3">
        <v>0</v>
      </c>
      <c r="O14" s="3">
        <f t="shared" si="9"/>
        <v>2</v>
      </c>
      <c r="Q14" s="3">
        <f t="shared" si="14"/>
        <v>1</v>
      </c>
      <c r="R14" s="3">
        <v>101</v>
      </c>
      <c r="S14" s="3">
        <f t="shared" si="10"/>
        <v>1085</v>
      </c>
      <c r="T14" s="3">
        <v>28.7</v>
      </c>
      <c r="U14" s="3">
        <f t="shared" si="11"/>
        <v>362.4</v>
      </c>
      <c r="V14" s="3">
        <v>1</v>
      </c>
      <c r="W14" s="3">
        <f t="shared" si="12"/>
        <v>13</v>
      </c>
      <c r="X14" s="3">
        <f t="shared" si="2"/>
        <v>2.9080675422138835</v>
      </c>
      <c r="Y14" s="3">
        <f t="shared" si="3"/>
        <v>2.9939293598233996</v>
      </c>
    </row>
    <row r="15" spans="1:25">
      <c r="A15" s="3">
        <v>14</v>
      </c>
      <c r="B15" s="3">
        <v>38</v>
      </c>
      <c r="C15" s="3">
        <f t="shared" si="4"/>
        <v>611</v>
      </c>
      <c r="D15" s="3">
        <v>28.6</v>
      </c>
      <c r="E15" s="3">
        <f t="shared" si="5"/>
        <v>387.20000000000005</v>
      </c>
      <c r="F15" s="3">
        <v>1</v>
      </c>
      <c r="G15" s="3">
        <f t="shared" si="6"/>
        <v>14</v>
      </c>
      <c r="H15" s="3">
        <f t="shared" si="0"/>
        <v>1.525974025974026</v>
      </c>
      <c r="I15" s="3">
        <f t="shared" si="1"/>
        <v>1.5779958677685948</v>
      </c>
      <c r="J15" s="3">
        <v>0</v>
      </c>
      <c r="K15" s="3">
        <f t="shared" si="7"/>
        <v>9</v>
      </c>
      <c r="L15" s="3">
        <v>0</v>
      </c>
      <c r="M15" s="3">
        <f t="shared" si="8"/>
        <v>9</v>
      </c>
      <c r="N15" s="3">
        <v>0</v>
      </c>
      <c r="O15" s="3">
        <f t="shared" si="9"/>
        <v>2</v>
      </c>
      <c r="Q15" s="3">
        <f t="shared" si="14"/>
        <v>1</v>
      </c>
      <c r="R15" s="3">
        <v>81</v>
      </c>
      <c r="S15" s="3">
        <f t="shared" si="10"/>
        <v>1186</v>
      </c>
      <c r="T15" s="3">
        <v>28.8</v>
      </c>
      <c r="U15" s="3">
        <f t="shared" si="11"/>
        <v>391.2</v>
      </c>
      <c r="V15" s="3">
        <v>1</v>
      </c>
      <c r="W15" s="3">
        <f t="shared" si="12"/>
        <v>14</v>
      </c>
      <c r="X15" s="3">
        <f t="shared" si="2"/>
        <v>2.941468253968254</v>
      </c>
      <c r="Y15" s="3">
        <f t="shared" si="3"/>
        <v>3.0316973415132926</v>
      </c>
    </row>
    <row r="16" spans="1:25">
      <c r="A16" s="3">
        <v>15</v>
      </c>
      <c r="B16" s="3">
        <v>25</v>
      </c>
      <c r="C16" s="3">
        <f t="shared" si="4"/>
        <v>649</v>
      </c>
      <c r="D16" s="3">
        <v>28.8</v>
      </c>
      <c r="E16" s="3">
        <f t="shared" si="5"/>
        <v>416.00000000000006</v>
      </c>
      <c r="F16" s="3">
        <v>1</v>
      </c>
      <c r="G16" s="3">
        <f t="shared" si="6"/>
        <v>15</v>
      </c>
      <c r="H16" s="3">
        <f t="shared" si="0"/>
        <v>1.5023148148148147</v>
      </c>
      <c r="I16" s="3">
        <f t="shared" si="1"/>
        <v>1.5600961538461537</v>
      </c>
      <c r="J16" s="3">
        <v>0</v>
      </c>
      <c r="K16" s="3">
        <f t="shared" si="7"/>
        <v>9</v>
      </c>
      <c r="L16" s="3">
        <v>0</v>
      </c>
      <c r="M16" s="3">
        <f t="shared" si="8"/>
        <v>9</v>
      </c>
      <c r="N16" s="3">
        <v>0</v>
      </c>
      <c r="O16" s="3">
        <f t="shared" si="9"/>
        <v>2</v>
      </c>
      <c r="Q16" s="3">
        <f t="shared" si="14"/>
        <v>1</v>
      </c>
      <c r="R16" s="3">
        <v>54</v>
      </c>
      <c r="S16" s="3">
        <f t="shared" si="10"/>
        <v>1267</v>
      </c>
      <c r="T16" s="3">
        <v>29</v>
      </c>
      <c r="U16" s="3">
        <f t="shared" si="11"/>
        <v>420.2</v>
      </c>
      <c r="V16" s="3">
        <v>1</v>
      </c>
      <c r="W16" s="3">
        <f t="shared" si="12"/>
        <v>15</v>
      </c>
      <c r="X16" s="3">
        <f t="shared" si="2"/>
        <v>2.9126436781609195</v>
      </c>
      <c r="Y16" s="3">
        <f t="shared" si="3"/>
        <v>3.0152308424559733</v>
      </c>
    </row>
    <row r="17" spans="1:25">
      <c r="A17" s="3">
        <v>16</v>
      </c>
      <c r="B17" s="3">
        <v>47</v>
      </c>
      <c r="C17" s="3">
        <f t="shared" si="4"/>
        <v>674</v>
      </c>
      <c r="D17" s="3">
        <v>28.9</v>
      </c>
      <c r="E17" s="3">
        <f t="shared" si="5"/>
        <v>444.90000000000003</v>
      </c>
      <c r="F17" s="3">
        <v>1</v>
      </c>
      <c r="G17" s="3">
        <f t="shared" si="6"/>
        <v>16</v>
      </c>
      <c r="H17" s="3">
        <f t="shared" si="0"/>
        <v>1.4576124567474049</v>
      </c>
      <c r="I17" s="3">
        <f t="shared" si="1"/>
        <v>1.51494717914138</v>
      </c>
      <c r="J17" s="3">
        <v>0</v>
      </c>
      <c r="K17" s="3">
        <f t="shared" si="7"/>
        <v>9</v>
      </c>
      <c r="L17" s="3">
        <v>0</v>
      </c>
      <c r="M17" s="3">
        <f t="shared" si="8"/>
        <v>9</v>
      </c>
      <c r="N17" s="3">
        <v>0</v>
      </c>
      <c r="O17" s="3">
        <f t="shared" si="9"/>
        <v>2</v>
      </c>
      <c r="Q17" s="3">
        <f t="shared" si="14"/>
        <v>1</v>
      </c>
      <c r="R17" s="3">
        <v>46</v>
      </c>
      <c r="S17" s="3">
        <f t="shared" si="10"/>
        <v>1321</v>
      </c>
      <c r="T17" s="3">
        <v>29.1</v>
      </c>
      <c r="U17" s="3">
        <f t="shared" si="11"/>
        <v>449.3</v>
      </c>
      <c r="V17" s="3">
        <v>1</v>
      </c>
      <c r="W17" s="3">
        <f t="shared" si="12"/>
        <v>16</v>
      </c>
      <c r="X17" s="3">
        <f t="shared" si="2"/>
        <v>2.8371993127147763</v>
      </c>
      <c r="Y17" s="3">
        <f t="shared" si="3"/>
        <v>2.9401290896950814</v>
      </c>
    </row>
    <row r="18" spans="1:25">
      <c r="A18" s="3">
        <v>17</v>
      </c>
      <c r="B18" s="3">
        <v>62</v>
      </c>
      <c r="C18" s="3">
        <f t="shared" si="4"/>
        <v>721</v>
      </c>
      <c r="D18" s="3">
        <v>29.1</v>
      </c>
      <c r="E18" s="3">
        <f t="shared" si="5"/>
        <v>474.00000000000006</v>
      </c>
      <c r="F18" s="3">
        <v>1</v>
      </c>
      <c r="G18" s="3">
        <f t="shared" si="6"/>
        <v>17</v>
      </c>
      <c r="H18" s="3">
        <f t="shared" si="0"/>
        <v>1.4574489589650292</v>
      </c>
      <c r="I18" s="3">
        <f t="shared" si="1"/>
        <v>1.5210970464135019</v>
      </c>
      <c r="J18" s="3">
        <v>0</v>
      </c>
      <c r="K18" s="3">
        <f t="shared" si="7"/>
        <v>9</v>
      </c>
      <c r="L18" s="3">
        <v>0</v>
      </c>
      <c r="M18" s="3">
        <f t="shared" si="8"/>
        <v>9</v>
      </c>
      <c r="N18" s="3">
        <v>0</v>
      </c>
      <c r="O18" s="3">
        <f t="shared" si="9"/>
        <v>2</v>
      </c>
      <c r="Q18" s="3">
        <f t="shared" si="14"/>
        <v>1</v>
      </c>
      <c r="R18" s="3">
        <v>64</v>
      </c>
      <c r="S18" s="3">
        <f t="shared" si="10"/>
        <v>1367</v>
      </c>
      <c r="T18" s="3">
        <v>29.2</v>
      </c>
      <c r="U18" s="3">
        <f t="shared" si="11"/>
        <v>478.5</v>
      </c>
      <c r="V18" s="3">
        <v>1</v>
      </c>
      <c r="W18" s="3">
        <f t="shared" si="12"/>
        <v>17</v>
      </c>
      <c r="X18" s="3">
        <f t="shared" si="2"/>
        <v>2.7538275584206282</v>
      </c>
      <c r="Y18" s="3">
        <f t="shared" si="3"/>
        <v>2.8568443051201671</v>
      </c>
    </row>
    <row r="19" spans="1:25">
      <c r="A19" s="3">
        <v>18</v>
      </c>
      <c r="B19" s="3">
        <v>53</v>
      </c>
      <c r="C19" s="3">
        <f t="shared" si="4"/>
        <v>783</v>
      </c>
      <c r="D19" s="3">
        <v>29.3</v>
      </c>
      <c r="E19" s="3">
        <f t="shared" si="5"/>
        <v>503.30000000000007</v>
      </c>
      <c r="F19" s="3">
        <v>1</v>
      </c>
      <c r="G19" s="3">
        <f t="shared" si="6"/>
        <v>18</v>
      </c>
      <c r="H19" s="3">
        <f t="shared" si="0"/>
        <v>1.4846416382252561</v>
      </c>
      <c r="I19" s="3">
        <f t="shared" si="1"/>
        <v>1.5557321676932245</v>
      </c>
      <c r="J19" s="3">
        <v>1</v>
      </c>
      <c r="K19" s="3">
        <f t="shared" si="7"/>
        <v>9</v>
      </c>
      <c r="L19" s="3">
        <v>4.5</v>
      </c>
      <c r="M19" s="3">
        <f t="shared" si="8"/>
        <v>13.5</v>
      </c>
      <c r="N19" s="3">
        <v>1</v>
      </c>
      <c r="O19" s="3">
        <f t="shared" si="9"/>
        <v>3</v>
      </c>
      <c r="P19" s="3">
        <f t="shared" si="13"/>
        <v>0.66666666666666663</v>
      </c>
      <c r="Q19" s="3">
        <f t="shared" si="14"/>
        <v>0.66666666666666663</v>
      </c>
      <c r="R19" s="3">
        <v>95</v>
      </c>
      <c r="S19" s="3">
        <f t="shared" si="10"/>
        <v>1431</v>
      </c>
      <c r="T19" s="3">
        <v>29.3</v>
      </c>
      <c r="U19" s="3">
        <f t="shared" si="11"/>
        <v>507.8</v>
      </c>
      <c r="V19" s="3">
        <v>1</v>
      </c>
      <c r="W19" s="3">
        <f t="shared" si="12"/>
        <v>18</v>
      </c>
      <c r="X19" s="3">
        <f t="shared" si="2"/>
        <v>2.7133105802047783</v>
      </c>
      <c r="Y19" s="3">
        <f t="shared" si="3"/>
        <v>2.8180385978731786</v>
      </c>
    </row>
    <row r="20" spans="1:25">
      <c r="A20" s="3">
        <v>19</v>
      </c>
      <c r="B20" s="3">
        <v>42</v>
      </c>
      <c r="C20" s="3">
        <f t="shared" si="4"/>
        <v>836</v>
      </c>
      <c r="D20" s="3">
        <v>29.5</v>
      </c>
      <c r="E20" s="3">
        <f t="shared" si="5"/>
        <v>532.80000000000007</v>
      </c>
      <c r="F20" s="3">
        <v>1</v>
      </c>
      <c r="G20" s="3">
        <f t="shared" si="6"/>
        <v>19</v>
      </c>
      <c r="H20" s="3">
        <f t="shared" si="0"/>
        <v>1.4915254237288136</v>
      </c>
      <c r="I20" s="3">
        <f t="shared" si="1"/>
        <v>1.569069069069069</v>
      </c>
      <c r="J20" s="3">
        <v>12</v>
      </c>
      <c r="K20" s="3">
        <f t="shared" si="7"/>
        <v>10</v>
      </c>
      <c r="L20" s="3">
        <v>4.5</v>
      </c>
      <c r="M20" s="3">
        <f t="shared" si="8"/>
        <v>18</v>
      </c>
      <c r="N20" s="3">
        <v>1</v>
      </c>
      <c r="O20" s="3">
        <f t="shared" si="9"/>
        <v>4</v>
      </c>
      <c r="P20" s="3">
        <f t="shared" si="13"/>
        <v>0.55555555555555558</v>
      </c>
      <c r="Q20" s="3">
        <f t="shared" si="14"/>
        <v>0.55555555555555558</v>
      </c>
      <c r="R20" s="3">
        <v>45</v>
      </c>
      <c r="S20" s="3">
        <f t="shared" si="10"/>
        <v>1526</v>
      </c>
      <c r="T20" s="3">
        <v>29.4</v>
      </c>
      <c r="U20" s="3">
        <f t="shared" si="11"/>
        <v>537.20000000000005</v>
      </c>
      <c r="V20" s="3">
        <v>1</v>
      </c>
      <c r="W20" s="3">
        <f t="shared" si="12"/>
        <v>19</v>
      </c>
      <c r="X20" s="3">
        <f t="shared" si="2"/>
        <v>2.7318295739348373</v>
      </c>
      <c r="Y20" s="3">
        <f t="shared" si="3"/>
        <v>2.8406552494415487</v>
      </c>
    </row>
    <row r="21" spans="1:25">
      <c r="A21" s="3">
        <v>20</v>
      </c>
      <c r="B21" s="3">
        <v>45</v>
      </c>
      <c r="C21" s="3">
        <f t="shared" si="4"/>
        <v>878</v>
      </c>
      <c r="D21" s="3">
        <v>29.7</v>
      </c>
      <c r="E21" s="3">
        <f t="shared" si="5"/>
        <v>562.50000000000011</v>
      </c>
      <c r="F21" s="3">
        <v>1</v>
      </c>
      <c r="G21" s="3">
        <f t="shared" si="6"/>
        <v>20</v>
      </c>
      <c r="H21" s="3">
        <f t="shared" si="0"/>
        <v>1.4781144781144782</v>
      </c>
      <c r="I21" s="3">
        <f t="shared" si="1"/>
        <v>1.5608888888888885</v>
      </c>
      <c r="J21" s="3">
        <v>10</v>
      </c>
      <c r="K21" s="3">
        <f t="shared" si="7"/>
        <v>22</v>
      </c>
      <c r="L21" s="3">
        <v>5</v>
      </c>
      <c r="M21" s="3">
        <f t="shared" si="8"/>
        <v>23</v>
      </c>
      <c r="N21" s="3">
        <v>1</v>
      </c>
      <c r="O21" s="3">
        <f t="shared" si="9"/>
        <v>5</v>
      </c>
      <c r="P21" s="3">
        <f t="shared" si="13"/>
        <v>0.88000000000000012</v>
      </c>
      <c r="Q21" s="3">
        <f t="shared" si="14"/>
        <v>0.95652173913043481</v>
      </c>
      <c r="R21" s="3">
        <v>105</v>
      </c>
      <c r="S21" s="3">
        <f t="shared" si="10"/>
        <v>1571</v>
      </c>
      <c r="T21" s="3">
        <v>29.4</v>
      </c>
      <c r="U21" s="3">
        <f t="shared" si="11"/>
        <v>566.6</v>
      </c>
      <c r="V21" s="3">
        <v>1</v>
      </c>
      <c r="W21" s="3">
        <f t="shared" si="12"/>
        <v>20</v>
      </c>
      <c r="X21" s="3">
        <f t="shared" si="2"/>
        <v>2.6717687074829932</v>
      </c>
      <c r="Y21" s="3">
        <f t="shared" si="3"/>
        <v>2.7726791387222023</v>
      </c>
    </row>
    <row r="22" spans="1:25">
      <c r="A22" s="3">
        <v>21</v>
      </c>
      <c r="B22" s="3">
        <v>44</v>
      </c>
      <c r="C22" s="3">
        <f t="shared" si="4"/>
        <v>923</v>
      </c>
      <c r="D22" s="3">
        <v>29.9</v>
      </c>
      <c r="E22" s="3">
        <f t="shared" si="5"/>
        <v>592.40000000000009</v>
      </c>
      <c r="F22" s="3">
        <v>1</v>
      </c>
      <c r="G22" s="3">
        <f t="shared" si="6"/>
        <v>21</v>
      </c>
      <c r="H22" s="3">
        <f t="shared" si="0"/>
        <v>1.4699792960662525</v>
      </c>
      <c r="I22" s="3">
        <f t="shared" si="1"/>
        <v>1.5580688723835243</v>
      </c>
      <c r="J22" s="3">
        <v>6</v>
      </c>
      <c r="K22" s="3">
        <f t="shared" si="7"/>
        <v>32</v>
      </c>
      <c r="L22" s="3">
        <v>5.5</v>
      </c>
      <c r="M22" s="3">
        <f t="shared" si="8"/>
        <v>28.5</v>
      </c>
      <c r="N22" s="3">
        <v>1</v>
      </c>
      <c r="O22" s="3">
        <f t="shared" si="9"/>
        <v>6</v>
      </c>
      <c r="P22" s="3">
        <f t="shared" si="13"/>
        <v>0.96969696969696972</v>
      </c>
      <c r="Q22" s="3">
        <f t="shared" si="14"/>
        <v>1.1228070175438596</v>
      </c>
      <c r="R22" s="3">
        <v>84</v>
      </c>
      <c r="S22" s="3">
        <f t="shared" si="10"/>
        <v>1676</v>
      </c>
      <c r="T22" s="3">
        <v>29.6</v>
      </c>
      <c r="U22" s="3">
        <f t="shared" si="11"/>
        <v>596.20000000000005</v>
      </c>
      <c r="V22" s="3">
        <v>1</v>
      </c>
      <c r="W22" s="3">
        <f t="shared" si="12"/>
        <v>21</v>
      </c>
      <c r="X22" s="3">
        <f t="shared" si="2"/>
        <v>2.6962676962676961</v>
      </c>
      <c r="Y22" s="3">
        <f t="shared" si="3"/>
        <v>2.8111372022811136</v>
      </c>
    </row>
    <row r="23" spans="1:25">
      <c r="A23" s="3">
        <v>22</v>
      </c>
      <c r="B23" s="3">
        <v>47</v>
      </c>
      <c r="C23" s="3">
        <f t="shared" si="4"/>
        <v>967</v>
      </c>
      <c r="D23" s="3">
        <v>30</v>
      </c>
      <c r="E23" s="3">
        <f t="shared" si="5"/>
        <v>622.40000000000009</v>
      </c>
      <c r="F23" s="3">
        <v>1</v>
      </c>
      <c r="G23" s="3">
        <f t="shared" si="6"/>
        <v>22</v>
      </c>
      <c r="H23" s="3">
        <f t="shared" si="0"/>
        <v>1.4651515151515151</v>
      </c>
      <c r="I23" s="3">
        <f t="shared" si="1"/>
        <v>1.55366323907455</v>
      </c>
      <c r="J23" s="3">
        <v>11</v>
      </c>
      <c r="K23" s="3">
        <f t="shared" si="7"/>
        <v>38</v>
      </c>
      <c r="L23" s="3">
        <v>5.5</v>
      </c>
      <c r="M23" s="3">
        <f t="shared" si="8"/>
        <v>34</v>
      </c>
      <c r="N23" s="3">
        <v>1</v>
      </c>
      <c r="O23" s="3">
        <f t="shared" si="9"/>
        <v>7</v>
      </c>
      <c r="P23" s="3">
        <f t="shared" si="13"/>
        <v>0.98701298701298701</v>
      </c>
      <c r="Q23" s="3">
        <f t="shared" si="14"/>
        <v>1.1176470588235294</v>
      </c>
      <c r="R23" s="3">
        <v>87</v>
      </c>
      <c r="S23" s="3">
        <f t="shared" si="10"/>
        <v>1760</v>
      </c>
      <c r="T23" s="3">
        <v>29.7</v>
      </c>
      <c r="U23" s="3">
        <f t="shared" si="11"/>
        <v>625.90000000000009</v>
      </c>
      <c r="V23" s="3">
        <v>1</v>
      </c>
      <c r="W23" s="3">
        <f t="shared" si="12"/>
        <v>22</v>
      </c>
      <c r="X23" s="3">
        <f t="shared" si="2"/>
        <v>2.6936026936026938</v>
      </c>
      <c r="Y23" s="3">
        <f t="shared" si="3"/>
        <v>2.8119507908611596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4C22-B1F0-4432-9D5D-AC861A522885}">
  <dimension ref="A1:X6"/>
  <sheetViews>
    <sheetView workbookViewId="0">
      <selection activeCell="C8" sqref="C8"/>
    </sheetView>
  </sheetViews>
  <sheetFormatPr defaultRowHeight="15"/>
  <sheetData>
    <row r="1" spans="1:24" s="2" customFormat="1">
      <c r="A1" s="1" t="s">
        <v>0</v>
      </c>
      <c r="B1" s="1" t="s">
        <v>1</v>
      </c>
      <c r="C1" s="1">
        <v>35</v>
      </c>
      <c r="D1" s="1">
        <v>61</v>
      </c>
      <c r="E1" s="1">
        <v>36</v>
      </c>
      <c r="F1" s="1">
        <v>37</v>
      </c>
      <c r="G1" s="1">
        <v>64</v>
      </c>
      <c r="H1" s="1">
        <v>35</v>
      </c>
      <c r="I1" s="1">
        <v>46</v>
      </c>
      <c r="J1" s="1">
        <v>35</v>
      </c>
      <c r="K1" s="1">
        <v>56</v>
      </c>
      <c r="L1" s="1">
        <v>46</v>
      </c>
      <c r="M1" s="1">
        <v>46</v>
      </c>
      <c r="N1" s="1">
        <v>68</v>
      </c>
      <c r="O1" s="1">
        <v>46</v>
      </c>
      <c r="P1" s="1">
        <v>38</v>
      </c>
      <c r="Q1" s="1">
        <v>25</v>
      </c>
      <c r="R1" s="1">
        <v>47</v>
      </c>
      <c r="S1" s="1">
        <v>62</v>
      </c>
      <c r="T1" s="1">
        <v>53</v>
      </c>
      <c r="U1" s="1">
        <v>42</v>
      </c>
      <c r="V1" s="1">
        <v>45</v>
      </c>
      <c r="W1" s="1">
        <v>44</v>
      </c>
      <c r="X1" s="1">
        <v>47</v>
      </c>
    </row>
    <row r="2" spans="1:24" s="2" customFormat="1">
      <c r="A2" s="1" t="s">
        <v>0</v>
      </c>
      <c r="B2" s="1" t="s">
        <v>1</v>
      </c>
      <c r="C2" s="1">
        <v>26.9</v>
      </c>
      <c r="D2" s="1">
        <v>27</v>
      </c>
      <c r="E2" s="1">
        <v>27.1</v>
      </c>
      <c r="F2" s="1">
        <v>27.2</v>
      </c>
      <c r="G2" s="1">
        <v>27.3</v>
      </c>
      <c r="H2" s="1">
        <v>27.4</v>
      </c>
      <c r="I2" s="1">
        <v>27.5</v>
      </c>
      <c r="J2" s="1">
        <v>27.6</v>
      </c>
      <c r="K2" s="1">
        <v>27.8</v>
      </c>
      <c r="L2" s="1">
        <v>27.9</v>
      </c>
      <c r="M2" s="1">
        <v>28.1</v>
      </c>
      <c r="N2" s="1">
        <v>28.3</v>
      </c>
      <c r="O2" s="1">
        <v>28.5</v>
      </c>
      <c r="P2" s="1">
        <v>28.6</v>
      </c>
      <c r="Q2" s="1">
        <v>28.8</v>
      </c>
      <c r="R2" s="1">
        <v>28.9</v>
      </c>
      <c r="S2" s="1">
        <v>29.1</v>
      </c>
      <c r="T2" s="1">
        <v>29.3</v>
      </c>
      <c r="U2" s="1">
        <v>29.5</v>
      </c>
      <c r="V2" s="1">
        <v>29.7</v>
      </c>
      <c r="W2" s="1">
        <v>29.9</v>
      </c>
      <c r="X2" s="1">
        <v>30</v>
      </c>
    </row>
    <row r="3" spans="1:24" s="2" customFormat="1">
      <c r="A3" s="1" t="s">
        <v>2</v>
      </c>
      <c r="B3" s="1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>
        <v>2</v>
      </c>
      <c r="N3" s="1">
        <v>7</v>
      </c>
      <c r="O3" s="1"/>
      <c r="P3" s="1"/>
      <c r="Q3" s="1"/>
      <c r="R3" s="1"/>
      <c r="S3" s="1"/>
      <c r="T3" s="1">
        <v>1</v>
      </c>
      <c r="U3" s="1">
        <v>12</v>
      </c>
      <c r="V3" s="1">
        <v>10</v>
      </c>
      <c r="W3" s="1">
        <v>6</v>
      </c>
      <c r="X3" s="1">
        <v>11</v>
      </c>
    </row>
    <row r="4" spans="1:24" s="2" customFormat="1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>
        <v>4.5</v>
      </c>
      <c r="N4" s="1">
        <v>4.5</v>
      </c>
      <c r="O4" s="1"/>
      <c r="P4" s="1"/>
      <c r="Q4" s="1"/>
      <c r="R4" s="1"/>
      <c r="S4" s="1"/>
      <c r="T4" s="1">
        <v>4.5</v>
      </c>
      <c r="U4" s="1">
        <v>4.5</v>
      </c>
      <c r="V4" s="1">
        <v>5</v>
      </c>
      <c r="W4" s="1">
        <v>5.5</v>
      </c>
      <c r="X4" s="1">
        <v>5.5</v>
      </c>
    </row>
    <row r="5" spans="1:24">
      <c r="B5" s="1" t="s">
        <v>1</v>
      </c>
      <c r="C5" s="1">
        <v>78</v>
      </c>
      <c r="D5" s="1">
        <v>95</v>
      </c>
      <c r="E5" s="1">
        <v>98</v>
      </c>
      <c r="F5" s="1">
        <v>108</v>
      </c>
      <c r="G5" s="1">
        <v>97</v>
      </c>
      <c r="H5" s="1">
        <v>63</v>
      </c>
      <c r="I5" s="1">
        <v>96</v>
      </c>
      <c r="J5" s="1">
        <v>86</v>
      </c>
      <c r="K5" s="1">
        <v>112</v>
      </c>
      <c r="L5" s="1">
        <v>77</v>
      </c>
      <c r="M5" s="1">
        <v>95</v>
      </c>
      <c r="N5" s="1">
        <v>80</v>
      </c>
      <c r="O5" s="1">
        <v>101</v>
      </c>
      <c r="P5" s="1">
        <v>81</v>
      </c>
      <c r="Q5" s="1">
        <v>54</v>
      </c>
      <c r="R5" s="1">
        <v>46</v>
      </c>
      <c r="S5" s="1">
        <v>64</v>
      </c>
      <c r="T5" s="1">
        <v>95</v>
      </c>
      <c r="U5" s="1">
        <v>45</v>
      </c>
      <c r="V5" s="1">
        <v>105</v>
      </c>
      <c r="W5" s="1">
        <v>84</v>
      </c>
      <c r="X5" s="1">
        <v>87</v>
      </c>
    </row>
    <row r="6" spans="1:24">
      <c r="B6" s="1" t="s">
        <v>1</v>
      </c>
      <c r="C6" s="1">
        <v>27.2</v>
      </c>
      <c r="D6" s="1">
        <v>27.3</v>
      </c>
      <c r="E6" s="1">
        <v>27.4</v>
      </c>
      <c r="F6" s="1">
        <v>27.5</v>
      </c>
      <c r="G6" s="1">
        <v>27.6</v>
      </c>
      <c r="H6" s="1">
        <v>27.7</v>
      </c>
      <c r="I6" s="1">
        <v>27.8</v>
      </c>
      <c r="J6" s="1">
        <v>27.9</v>
      </c>
      <c r="K6" s="1">
        <v>28.1</v>
      </c>
      <c r="L6" s="1">
        <v>28.2</v>
      </c>
      <c r="M6" s="1">
        <v>28.4</v>
      </c>
      <c r="N6" s="1">
        <v>28.6</v>
      </c>
      <c r="O6" s="1">
        <v>28.7</v>
      </c>
      <c r="P6" s="1">
        <v>28.8</v>
      </c>
      <c r="Q6" s="1">
        <v>29</v>
      </c>
      <c r="R6" s="1">
        <v>29.1</v>
      </c>
      <c r="S6" s="1">
        <v>29.2</v>
      </c>
      <c r="T6" s="1">
        <v>29.3</v>
      </c>
      <c r="U6" s="1">
        <v>29.4</v>
      </c>
      <c r="V6" s="1">
        <v>29.4</v>
      </c>
      <c r="W6" s="1">
        <v>29.6</v>
      </c>
      <c r="X6" s="1">
        <v>29.7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4D71-4AC0-4629-BA1E-E13CC0397A92}">
  <dimension ref="A1:I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0" sqref="D20"/>
    </sheetView>
  </sheetViews>
  <sheetFormatPr defaultRowHeight="15"/>
  <cols>
    <col min="1" max="1" width="4.5703125" bestFit="1" customWidth="1"/>
    <col min="2" max="2" width="18.5703125" bestFit="1" customWidth="1"/>
    <col min="3" max="3" width="18.140625" bestFit="1" customWidth="1"/>
    <col min="4" max="4" width="17.5703125" bestFit="1" customWidth="1"/>
    <col min="5" max="5" width="17.5703125" customWidth="1"/>
    <col min="6" max="6" width="17.28515625" bestFit="1" customWidth="1"/>
    <col min="7" max="7" width="21.140625" bestFit="1" customWidth="1"/>
    <col min="8" max="8" width="16.42578125" bestFit="1" customWidth="1"/>
  </cols>
  <sheetData>
    <row r="1" spans="1:9">
      <c r="A1" s="4" t="s">
        <v>6</v>
      </c>
      <c r="B1" s="4" t="s">
        <v>27</v>
      </c>
      <c r="C1" s="4" t="s">
        <v>26</v>
      </c>
      <c r="D1" s="4" t="s">
        <v>28</v>
      </c>
      <c r="E1" s="4" t="s">
        <v>38</v>
      </c>
      <c r="F1" s="4" t="s">
        <v>29</v>
      </c>
      <c r="G1" s="4" t="s">
        <v>30</v>
      </c>
      <c r="H1" s="4" t="s">
        <v>31</v>
      </c>
      <c r="I1" s="4" t="s">
        <v>39</v>
      </c>
    </row>
    <row r="2" spans="1:9">
      <c r="A2" s="3">
        <v>1</v>
      </c>
      <c r="B2" s="3">
        <f t="array" ref="B2:B25">TRANSPOSE('2004 Actual'!C3:Z3)</f>
        <v>0</v>
      </c>
      <c r="C2" s="3">
        <v>0</v>
      </c>
      <c r="D2" s="3">
        <f t="array" ref="D2:D25">TRANSPOSE('2004 Actual'!C6:Z6)</f>
        <v>0</v>
      </c>
      <c r="E2" s="3">
        <f>D2</f>
        <v>0</v>
      </c>
      <c r="F2" s="3"/>
      <c r="G2" s="3">
        <f>F2</f>
        <v>0</v>
      </c>
      <c r="H2" s="3"/>
    </row>
    <row r="3" spans="1:9">
      <c r="A3" s="3">
        <v>2</v>
      </c>
      <c r="B3" s="3">
        <v>26</v>
      </c>
      <c r="C3" s="3">
        <f>C2+B2</f>
        <v>0</v>
      </c>
      <c r="D3" s="3">
        <v>14</v>
      </c>
      <c r="E3" s="3">
        <f>E2+D3</f>
        <v>14</v>
      </c>
      <c r="F3" s="3">
        <v>1</v>
      </c>
      <c r="G3" s="3">
        <f>G2+F3</f>
        <v>1</v>
      </c>
      <c r="H3" s="3">
        <f t="shared" ref="H3:H22" si="0">C3/D3/G3</f>
        <v>0</v>
      </c>
      <c r="I3">
        <f t="shared" ref="I3:I25" si="1">C3/E3</f>
        <v>0</v>
      </c>
    </row>
    <row r="4" spans="1:9">
      <c r="A4" s="3">
        <v>3</v>
      </c>
      <c r="B4" s="3">
        <v>0</v>
      </c>
      <c r="C4" s="3">
        <f t="shared" ref="C4:C25" si="2">C3+B3</f>
        <v>26</v>
      </c>
      <c r="D4" s="3">
        <v>0</v>
      </c>
      <c r="E4" s="3">
        <f t="shared" ref="E4:E25" si="3">E3+D4</f>
        <v>14</v>
      </c>
      <c r="F4" s="3"/>
      <c r="G4" s="3">
        <f t="shared" ref="G4:G25" si="4">G3+F4</f>
        <v>1</v>
      </c>
      <c r="H4" s="3"/>
      <c r="I4">
        <f t="shared" si="1"/>
        <v>1.8571428571428572</v>
      </c>
    </row>
    <row r="5" spans="1:9">
      <c r="A5" s="3">
        <v>4</v>
      </c>
      <c r="B5" s="3">
        <v>0</v>
      </c>
      <c r="C5" s="3">
        <f t="shared" si="2"/>
        <v>26</v>
      </c>
      <c r="D5" s="3">
        <v>0</v>
      </c>
      <c r="E5" s="3">
        <f t="shared" si="3"/>
        <v>14</v>
      </c>
      <c r="F5" s="3"/>
      <c r="G5" s="3">
        <f t="shared" si="4"/>
        <v>1</v>
      </c>
      <c r="H5" s="3"/>
      <c r="I5">
        <f t="shared" si="1"/>
        <v>1.8571428571428572</v>
      </c>
    </row>
    <row r="6" spans="1:9">
      <c r="A6" s="3">
        <v>5</v>
      </c>
      <c r="B6" s="3">
        <v>0</v>
      </c>
      <c r="C6" s="3">
        <f t="shared" si="2"/>
        <v>26</v>
      </c>
      <c r="D6" s="3">
        <v>0</v>
      </c>
      <c r="E6" s="3">
        <f t="shared" si="3"/>
        <v>14</v>
      </c>
      <c r="F6" s="3"/>
      <c r="G6" s="3">
        <f t="shared" si="4"/>
        <v>1</v>
      </c>
      <c r="H6" s="3"/>
      <c r="I6">
        <f t="shared" si="1"/>
        <v>1.8571428571428572</v>
      </c>
    </row>
    <row r="7" spans="1:9">
      <c r="A7" s="3">
        <v>6</v>
      </c>
      <c r="B7" s="3">
        <v>0</v>
      </c>
      <c r="C7" s="3">
        <f t="shared" si="2"/>
        <v>26</v>
      </c>
      <c r="D7" s="3">
        <v>0</v>
      </c>
      <c r="E7" s="3">
        <f t="shared" si="3"/>
        <v>14</v>
      </c>
      <c r="F7" s="3"/>
      <c r="G7" s="3">
        <f t="shared" si="4"/>
        <v>1</v>
      </c>
      <c r="H7" s="3"/>
      <c r="I7">
        <f t="shared" si="1"/>
        <v>1.8571428571428572</v>
      </c>
    </row>
    <row r="8" spans="1:9">
      <c r="A8" s="3">
        <v>7</v>
      </c>
      <c r="B8" s="3">
        <v>0</v>
      </c>
      <c r="C8" s="3">
        <f t="shared" si="2"/>
        <v>26</v>
      </c>
      <c r="D8" s="3">
        <v>0</v>
      </c>
      <c r="E8" s="3">
        <f t="shared" si="3"/>
        <v>14</v>
      </c>
      <c r="F8" s="3"/>
      <c r="G8" s="3">
        <f t="shared" si="4"/>
        <v>1</v>
      </c>
      <c r="H8" s="3"/>
      <c r="I8">
        <f t="shared" si="1"/>
        <v>1.8571428571428572</v>
      </c>
    </row>
    <row r="9" spans="1:9">
      <c r="A9" s="3">
        <v>8</v>
      </c>
      <c r="B9" s="3">
        <v>0</v>
      </c>
      <c r="C9" s="3">
        <f t="shared" si="2"/>
        <v>26</v>
      </c>
      <c r="D9" s="3">
        <v>0</v>
      </c>
      <c r="E9" s="3">
        <f t="shared" si="3"/>
        <v>14</v>
      </c>
      <c r="F9" s="3"/>
      <c r="G9" s="3">
        <f t="shared" si="4"/>
        <v>1</v>
      </c>
      <c r="H9" s="3"/>
      <c r="I9">
        <f t="shared" si="1"/>
        <v>1.8571428571428572</v>
      </c>
    </row>
    <row r="10" spans="1:9">
      <c r="A10" s="3">
        <v>9</v>
      </c>
      <c r="B10" s="3">
        <v>0</v>
      </c>
      <c r="C10" s="3">
        <f t="shared" si="2"/>
        <v>26</v>
      </c>
      <c r="D10" s="3">
        <v>0</v>
      </c>
      <c r="E10" s="3">
        <f t="shared" si="3"/>
        <v>14</v>
      </c>
      <c r="F10" s="3"/>
      <c r="G10" s="3">
        <f t="shared" si="4"/>
        <v>1</v>
      </c>
      <c r="H10" s="3"/>
      <c r="I10">
        <f t="shared" si="1"/>
        <v>1.8571428571428572</v>
      </c>
    </row>
    <row r="11" spans="1:9">
      <c r="A11" s="3">
        <v>10</v>
      </c>
      <c r="B11" s="3">
        <v>0</v>
      </c>
      <c r="C11" s="3">
        <f t="shared" si="2"/>
        <v>26</v>
      </c>
      <c r="D11" s="3">
        <v>0</v>
      </c>
      <c r="E11" s="3">
        <f t="shared" si="3"/>
        <v>14</v>
      </c>
      <c r="F11" s="3"/>
      <c r="G11" s="3">
        <f t="shared" si="4"/>
        <v>1</v>
      </c>
      <c r="H11" s="3"/>
      <c r="I11">
        <f t="shared" si="1"/>
        <v>1.8571428571428572</v>
      </c>
    </row>
    <row r="12" spans="1:9">
      <c r="A12" s="3">
        <v>11</v>
      </c>
      <c r="B12" s="3">
        <v>0</v>
      </c>
      <c r="C12" s="3">
        <f t="shared" si="2"/>
        <v>26</v>
      </c>
      <c r="D12" s="3">
        <v>0</v>
      </c>
      <c r="E12" s="3">
        <f t="shared" si="3"/>
        <v>14</v>
      </c>
      <c r="F12" s="3"/>
      <c r="G12" s="3">
        <f t="shared" si="4"/>
        <v>1</v>
      </c>
      <c r="H12" s="3"/>
      <c r="I12">
        <f t="shared" si="1"/>
        <v>1.8571428571428572</v>
      </c>
    </row>
    <row r="13" spans="1:9">
      <c r="A13" s="3">
        <v>12</v>
      </c>
      <c r="B13" s="3">
        <v>0</v>
      </c>
      <c r="C13" s="3">
        <f t="shared" si="2"/>
        <v>26</v>
      </c>
      <c r="D13" s="3">
        <v>0</v>
      </c>
      <c r="E13" s="3">
        <f t="shared" si="3"/>
        <v>14</v>
      </c>
      <c r="F13" s="3"/>
      <c r="G13" s="3">
        <f t="shared" si="4"/>
        <v>1</v>
      </c>
      <c r="H13" s="3"/>
      <c r="I13">
        <f t="shared" si="1"/>
        <v>1.8571428571428572</v>
      </c>
    </row>
    <row r="14" spans="1:9">
      <c r="A14" s="3">
        <v>13</v>
      </c>
      <c r="B14" s="3">
        <v>0</v>
      </c>
      <c r="C14" s="3">
        <f t="shared" si="2"/>
        <v>26</v>
      </c>
      <c r="D14" s="3">
        <v>0</v>
      </c>
      <c r="E14" s="3">
        <f t="shared" si="3"/>
        <v>14</v>
      </c>
      <c r="F14" s="3"/>
      <c r="G14" s="3">
        <f t="shared" si="4"/>
        <v>1</v>
      </c>
      <c r="H14" s="3"/>
      <c r="I14">
        <f t="shared" si="1"/>
        <v>1.8571428571428572</v>
      </c>
    </row>
    <row r="15" spans="1:9">
      <c r="A15" s="3">
        <v>14</v>
      </c>
      <c r="B15" s="3">
        <v>0</v>
      </c>
      <c r="C15" s="3">
        <f t="shared" si="2"/>
        <v>26</v>
      </c>
      <c r="D15" s="3">
        <v>0</v>
      </c>
      <c r="E15" s="3">
        <f t="shared" si="3"/>
        <v>14</v>
      </c>
      <c r="F15" s="3"/>
      <c r="G15" s="3">
        <f t="shared" si="4"/>
        <v>1</v>
      </c>
      <c r="H15" s="3"/>
      <c r="I15">
        <f t="shared" si="1"/>
        <v>1.8571428571428572</v>
      </c>
    </row>
    <row r="16" spans="1:9">
      <c r="A16" s="3">
        <v>15</v>
      </c>
      <c r="B16" s="3">
        <v>0</v>
      </c>
      <c r="C16" s="3">
        <f t="shared" si="2"/>
        <v>26</v>
      </c>
      <c r="D16" s="3">
        <v>0</v>
      </c>
      <c r="E16" s="3">
        <f t="shared" si="3"/>
        <v>14</v>
      </c>
      <c r="F16" s="3"/>
      <c r="G16" s="3">
        <f t="shared" si="4"/>
        <v>1</v>
      </c>
      <c r="H16" s="3"/>
      <c r="I16">
        <f t="shared" si="1"/>
        <v>1.8571428571428572</v>
      </c>
    </row>
    <row r="17" spans="1:9">
      <c r="A17" s="3">
        <v>16</v>
      </c>
      <c r="B17" s="3">
        <v>0</v>
      </c>
      <c r="C17" s="3">
        <f t="shared" si="2"/>
        <v>26</v>
      </c>
      <c r="D17" s="3">
        <v>0</v>
      </c>
      <c r="E17" s="3">
        <f t="shared" si="3"/>
        <v>14</v>
      </c>
      <c r="F17" s="3"/>
      <c r="G17" s="3">
        <f t="shared" si="4"/>
        <v>1</v>
      </c>
      <c r="H17" s="3"/>
      <c r="I17">
        <f t="shared" si="1"/>
        <v>1.8571428571428572</v>
      </c>
    </row>
    <row r="18" spans="1:9">
      <c r="A18" s="3">
        <v>17</v>
      </c>
      <c r="B18" s="3">
        <v>7</v>
      </c>
      <c r="C18" s="3">
        <f t="shared" si="2"/>
        <v>26</v>
      </c>
      <c r="D18" s="3">
        <v>15</v>
      </c>
      <c r="E18" s="3">
        <f t="shared" si="3"/>
        <v>29</v>
      </c>
      <c r="F18" s="3">
        <v>1</v>
      </c>
      <c r="G18" s="3">
        <f t="shared" si="4"/>
        <v>2</v>
      </c>
      <c r="H18" s="3">
        <f t="shared" si="0"/>
        <v>0.8666666666666667</v>
      </c>
      <c r="I18">
        <f t="shared" si="1"/>
        <v>0.89655172413793105</v>
      </c>
    </row>
    <row r="19" spans="1:9">
      <c r="A19" s="3">
        <v>18</v>
      </c>
      <c r="B19" s="3">
        <v>0</v>
      </c>
      <c r="C19" s="3">
        <f t="shared" si="2"/>
        <v>33</v>
      </c>
      <c r="D19" s="3">
        <v>0</v>
      </c>
      <c r="E19" s="3">
        <f t="shared" si="3"/>
        <v>29</v>
      </c>
      <c r="F19" s="3"/>
      <c r="G19" s="3">
        <f t="shared" si="4"/>
        <v>2</v>
      </c>
      <c r="H19" s="3"/>
      <c r="I19">
        <f t="shared" si="1"/>
        <v>1.1379310344827587</v>
      </c>
    </row>
    <row r="20" spans="1:9">
      <c r="A20" s="3">
        <v>19</v>
      </c>
      <c r="B20" s="3">
        <v>0</v>
      </c>
      <c r="C20" s="3">
        <f t="shared" si="2"/>
        <v>33</v>
      </c>
      <c r="D20" s="3">
        <v>0</v>
      </c>
      <c r="E20" s="3">
        <f t="shared" si="3"/>
        <v>29</v>
      </c>
      <c r="F20" s="3"/>
      <c r="G20" s="3">
        <f t="shared" si="4"/>
        <v>2</v>
      </c>
      <c r="H20" s="3"/>
      <c r="I20">
        <f t="shared" si="1"/>
        <v>1.1379310344827587</v>
      </c>
    </row>
    <row r="21" spans="1:9">
      <c r="A21" s="3">
        <v>20</v>
      </c>
      <c r="B21" s="3">
        <v>0</v>
      </c>
      <c r="C21" s="3">
        <f t="shared" si="2"/>
        <v>33</v>
      </c>
      <c r="D21" s="3">
        <v>0</v>
      </c>
      <c r="E21" s="3">
        <f t="shared" si="3"/>
        <v>29</v>
      </c>
      <c r="F21" s="3"/>
      <c r="G21" s="3">
        <f t="shared" si="4"/>
        <v>2</v>
      </c>
      <c r="H21" s="3"/>
      <c r="I21">
        <f t="shared" si="1"/>
        <v>1.1379310344827587</v>
      </c>
    </row>
    <row r="22" spans="1:9">
      <c r="A22" s="3">
        <v>21</v>
      </c>
      <c r="B22" s="3">
        <v>14</v>
      </c>
      <c r="C22" s="3">
        <f t="shared" si="2"/>
        <v>33</v>
      </c>
      <c r="D22" s="3">
        <v>13.3</v>
      </c>
      <c r="E22" s="3">
        <f t="shared" si="3"/>
        <v>42.3</v>
      </c>
      <c r="F22" s="3">
        <v>1</v>
      </c>
      <c r="G22" s="3">
        <f t="shared" si="4"/>
        <v>3</v>
      </c>
      <c r="H22" s="3">
        <f t="shared" si="0"/>
        <v>0.82706766917293228</v>
      </c>
      <c r="I22">
        <f t="shared" si="1"/>
        <v>0.78014184397163122</v>
      </c>
    </row>
    <row r="23" spans="1:9">
      <c r="A23" s="3">
        <v>22</v>
      </c>
      <c r="B23" s="3">
        <v>0</v>
      </c>
      <c r="C23" s="3">
        <f t="shared" si="2"/>
        <v>47</v>
      </c>
      <c r="D23" s="3">
        <v>0</v>
      </c>
      <c r="E23" s="3">
        <f t="shared" si="3"/>
        <v>42.3</v>
      </c>
      <c r="F23" s="3"/>
      <c r="G23" s="3">
        <f t="shared" si="4"/>
        <v>3</v>
      </c>
      <c r="H23" s="3"/>
      <c r="I23">
        <f t="shared" si="1"/>
        <v>1.1111111111111112</v>
      </c>
    </row>
    <row r="24" spans="1:9">
      <c r="A24" s="3">
        <v>23</v>
      </c>
      <c r="B24">
        <v>0</v>
      </c>
      <c r="C24" s="3">
        <f t="shared" si="2"/>
        <v>47</v>
      </c>
      <c r="D24">
        <v>0</v>
      </c>
      <c r="E24" s="3">
        <f t="shared" si="3"/>
        <v>42.3</v>
      </c>
      <c r="G24" s="3">
        <f t="shared" si="4"/>
        <v>3</v>
      </c>
      <c r="I24">
        <f t="shared" si="1"/>
        <v>1.1111111111111112</v>
      </c>
    </row>
    <row r="25" spans="1:9">
      <c r="A25" s="3">
        <v>24</v>
      </c>
      <c r="B25">
        <v>0</v>
      </c>
      <c r="C25" s="3">
        <f t="shared" si="2"/>
        <v>47</v>
      </c>
      <c r="D25">
        <v>0</v>
      </c>
      <c r="E25" s="3">
        <f t="shared" si="3"/>
        <v>42.3</v>
      </c>
      <c r="G25" s="3">
        <f t="shared" si="4"/>
        <v>3</v>
      </c>
      <c r="I25">
        <f t="shared" si="1"/>
        <v>1.1111111111111112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F152-550E-48F4-9F27-F94F2D7CA7F7}">
  <dimension ref="A1:Z6"/>
  <sheetViews>
    <sheetView workbookViewId="0">
      <selection activeCell="K16" sqref="K16"/>
    </sheetView>
  </sheetViews>
  <sheetFormatPr defaultRowHeight="15"/>
  <sheetData>
    <row r="1" spans="1:26">
      <c r="A1" s="1" t="s">
        <v>23</v>
      </c>
      <c r="B1" s="1" t="s">
        <v>24</v>
      </c>
      <c r="C1" s="1"/>
      <c r="D1" s="1">
        <v>26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 t="s">
        <v>23</v>
      </c>
      <c r="B2" s="1" t="s">
        <v>25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7</v>
      </c>
      <c r="T2" s="1"/>
      <c r="U2" s="1"/>
      <c r="V2" s="1"/>
      <c r="W2" s="1">
        <v>14</v>
      </c>
      <c r="X2" s="1"/>
      <c r="Y2" s="1"/>
      <c r="Z2" s="1"/>
    </row>
    <row r="3" spans="1:26">
      <c r="A3" s="1" t="s">
        <v>23</v>
      </c>
      <c r="C3">
        <f>C1+C2</f>
        <v>0</v>
      </c>
      <c r="D3">
        <f t="shared" ref="D3:W3" si="0">D1+D2</f>
        <v>26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7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14</v>
      </c>
      <c r="X3">
        <f>X1+X2</f>
        <v>0</v>
      </c>
      <c r="Y3">
        <f t="shared" ref="Y3" si="1">Y1+Y2</f>
        <v>0</v>
      </c>
      <c r="Z3">
        <f t="shared" ref="Z3" si="2">Z1+Z2</f>
        <v>0</v>
      </c>
    </row>
    <row r="4" spans="1:26">
      <c r="A4" s="1" t="s">
        <v>23</v>
      </c>
      <c r="B4" s="1" t="s">
        <v>24</v>
      </c>
      <c r="C4" s="1"/>
      <c r="D4" s="1">
        <v>14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23</v>
      </c>
      <c r="B5" s="1" t="s">
        <v>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>
        <v>15</v>
      </c>
      <c r="T5" s="1"/>
      <c r="U5" s="1"/>
      <c r="V5" s="1"/>
      <c r="W5" s="1">
        <v>13.3</v>
      </c>
      <c r="X5" s="1"/>
      <c r="Y5" s="1"/>
      <c r="Z5" s="1"/>
    </row>
    <row r="6" spans="1:26">
      <c r="A6" s="1" t="s">
        <v>23</v>
      </c>
      <c r="C6">
        <f>SUM(C4:C5)</f>
        <v>0</v>
      </c>
      <c r="D6">
        <f t="shared" ref="D6:Z6" si="3">SUM(D4:D5)</f>
        <v>14</v>
      </c>
      <c r="E6">
        <f t="shared" si="3"/>
        <v>0</v>
      </c>
      <c r="F6">
        <f t="shared" si="3"/>
        <v>0</v>
      </c>
      <c r="G6">
        <f t="shared" si="3"/>
        <v>0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15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13.3</v>
      </c>
      <c r="X6">
        <f t="shared" si="3"/>
        <v>0</v>
      </c>
      <c r="Y6">
        <f t="shared" si="3"/>
        <v>0</v>
      </c>
      <c r="Z6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2003 Expected</vt:lpstr>
      <vt:lpstr>2023 Actual</vt:lpstr>
      <vt:lpstr>2004 Expected</vt:lpstr>
      <vt:lpstr>2004 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Shepherd</dc:creator>
  <cp:lastModifiedBy>Alex Shepherd</cp:lastModifiedBy>
  <dcterms:created xsi:type="dcterms:W3CDTF">2025-11-01T19:10:26Z</dcterms:created>
  <dcterms:modified xsi:type="dcterms:W3CDTF">2025-11-01T21:39:48Z</dcterms:modified>
</cp:coreProperties>
</file>