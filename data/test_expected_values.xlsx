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s\Dropbox\Dev\f1_fantasy\data\"/>
    </mc:Choice>
  </mc:AlternateContent>
  <xr:revisionPtr revIDLastSave="0" documentId="13_ncr:1_{8FCFF5DA-CF1A-4808-A569-C46E03E134BC}" xr6:coauthVersionLast="47" xr6:coauthVersionMax="47" xr10:uidLastSave="{00000000-0000-0000-0000-000000000000}"/>
  <bookViews>
    <workbookView xWindow="-120" yWindow="-120" windowWidth="29040" windowHeight="15840" activeTab="2" xr2:uid="{B8F73BD9-0904-4916-81F8-0E4EA1678C10}"/>
  </bookViews>
  <sheets>
    <sheet name="2003 Expected" sheetId="2" r:id="rId1"/>
    <sheet name="2023 Actual" sheetId="1" r:id="rId2"/>
    <sheet name="2004 Expected" sheetId="3" r:id="rId3"/>
    <sheet name="2004 Actua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4" i="3"/>
  <c r="F23" i="3"/>
  <c r="F21" i="3"/>
  <c r="F20" i="3"/>
  <c r="F19" i="3"/>
  <c r="F6" i="3"/>
  <c r="F5" i="3"/>
  <c r="K22" i="2"/>
  <c r="K21" i="2"/>
  <c r="K20" i="2"/>
  <c r="K16" i="2"/>
  <c r="K15" i="2"/>
  <c r="K14" i="2"/>
  <c r="K13" i="2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P4" i="2" s="1"/>
  <c r="M3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23" i="2"/>
  <c r="E22" i="2"/>
  <c r="E21" i="2"/>
  <c r="E20" i="2"/>
  <c r="F20" i="2" s="1"/>
  <c r="E19" i="2"/>
  <c r="E18" i="2"/>
  <c r="E17" i="2"/>
  <c r="E16" i="2"/>
  <c r="F16" i="2" s="1"/>
  <c r="E15" i="2"/>
  <c r="E14" i="2"/>
  <c r="E13" i="2"/>
  <c r="E12" i="2"/>
  <c r="F12" i="2" s="1"/>
  <c r="E11" i="2"/>
  <c r="E10" i="2"/>
  <c r="E9" i="2"/>
  <c r="E8" i="2"/>
  <c r="F8" i="2" s="1"/>
  <c r="E7" i="2"/>
  <c r="E6" i="2"/>
  <c r="E5" i="2"/>
  <c r="E4" i="2"/>
  <c r="E3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P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K23" i="2"/>
  <c r="F3" i="2"/>
  <c r="F5" i="2"/>
  <c r="F6" i="2"/>
  <c r="F7" i="2"/>
  <c r="F9" i="2"/>
  <c r="F10" i="2"/>
  <c r="F11" i="2"/>
  <c r="F13" i="2"/>
  <c r="F14" i="2"/>
  <c r="F15" i="2"/>
  <c r="F17" i="2"/>
  <c r="F18" i="2"/>
  <c r="F19" i="2"/>
  <c r="F21" i="2"/>
  <c r="F22" i="2"/>
  <c r="F23" i="2"/>
  <c r="D2" i="3" a="1"/>
  <c r="D2" i="3" s="1"/>
  <c r="B2" i="3" a="1"/>
  <c r="B2" i="3" s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C6" i="4"/>
  <c r="X3" i="4"/>
  <c r="Y3" i="4"/>
  <c r="Z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C3" i="4"/>
  <c r="N2" i="2" a="1"/>
  <c r="N2" i="2" s="1"/>
  <c r="L2" i="2" a="1"/>
  <c r="L2" i="2" s="1"/>
  <c r="I2" i="2" a="1"/>
  <c r="I2" i="2" s="1"/>
  <c r="D2" i="2" a="1"/>
  <c r="D2" i="2" s="1"/>
  <c r="G2" i="2" a="1"/>
  <c r="G2" i="2" s="1"/>
  <c r="B2" i="2" a="1"/>
  <c r="B2" i="2" s="1"/>
  <c r="F4" i="3" l="1"/>
  <c r="F4" i="2"/>
  <c r="D25" i="3"/>
  <c r="D9" i="3"/>
  <c r="D23" i="3"/>
  <c r="D19" i="3"/>
  <c r="D15" i="3"/>
  <c r="D11" i="3"/>
  <c r="D7" i="3"/>
  <c r="D3" i="3"/>
  <c r="D21" i="3"/>
  <c r="D17" i="3"/>
  <c r="D13" i="3"/>
  <c r="D5" i="3"/>
  <c r="D24" i="3"/>
  <c r="D20" i="3"/>
  <c r="D16" i="3"/>
  <c r="D12" i="3"/>
  <c r="D8" i="3"/>
  <c r="D4" i="3"/>
  <c r="D22" i="3"/>
  <c r="D18" i="3"/>
  <c r="D14" i="3"/>
  <c r="D10" i="3"/>
  <c r="D6" i="3"/>
  <c r="B21" i="3"/>
  <c r="B17" i="3"/>
  <c r="B5" i="3"/>
  <c r="B24" i="3"/>
  <c r="B20" i="3"/>
  <c r="B16" i="3"/>
  <c r="B12" i="3"/>
  <c r="B8" i="3"/>
  <c r="B4" i="3"/>
  <c r="B9" i="3"/>
  <c r="B23" i="3"/>
  <c r="B19" i="3"/>
  <c r="B15" i="3"/>
  <c r="B11" i="3"/>
  <c r="B7" i="3"/>
  <c r="B3" i="3"/>
  <c r="B25" i="3"/>
  <c r="B13" i="3"/>
  <c r="B22" i="3"/>
  <c r="B18" i="3"/>
  <c r="B14" i="3"/>
  <c r="B10" i="3"/>
  <c r="B6" i="3"/>
  <c r="N21" i="2"/>
  <c r="N17" i="2"/>
  <c r="N13" i="2"/>
  <c r="N9" i="2"/>
  <c r="N5" i="2"/>
  <c r="N20" i="2"/>
  <c r="N16" i="2"/>
  <c r="N12" i="2"/>
  <c r="N8" i="2"/>
  <c r="N4" i="2"/>
  <c r="N23" i="2"/>
  <c r="N19" i="2"/>
  <c r="N15" i="2"/>
  <c r="N11" i="2"/>
  <c r="N7" i="2"/>
  <c r="N3" i="2"/>
  <c r="N22" i="2"/>
  <c r="N18" i="2"/>
  <c r="N14" i="2"/>
  <c r="N10" i="2"/>
  <c r="N6" i="2"/>
  <c r="L21" i="2"/>
  <c r="L17" i="2"/>
  <c r="L13" i="2"/>
  <c r="L9" i="2"/>
  <c r="L5" i="2"/>
  <c r="L20" i="2"/>
  <c r="L16" i="2"/>
  <c r="L12" i="2"/>
  <c r="L8" i="2"/>
  <c r="L4" i="2"/>
  <c r="L23" i="2"/>
  <c r="L19" i="2"/>
  <c r="L15" i="2"/>
  <c r="L11" i="2"/>
  <c r="L7" i="2"/>
  <c r="L3" i="2"/>
  <c r="L22" i="2"/>
  <c r="L18" i="2"/>
  <c r="L14" i="2"/>
  <c r="L10" i="2"/>
  <c r="L6" i="2"/>
  <c r="I17" i="2"/>
  <c r="I9" i="2"/>
  <c r="I5" i="2"/>
  <c r="I20" i="2"/>
  <c r="I12" i="2"/>
  <c r="I23" i="2"/>
  <c r="I19" i="2"/>
  <c r="I15" i="2"/>
  <c r="I11" i="2"/>
  <c r="I7" i="2"/>
  <c r="I3" i="2"/>
  <c r="I21" i="2"/>
  <c r="I13" i="2"/>
  <c r="I16" i="2"/>
  <c r="I8" i="2"/>
  <c r="I4" i="2"/>
  <c r="I22" i="2"/>
  <c r="I18" i="2"/>
  <c r="I14" i="2"/>
  <c r="I10" i="2"/>
  <c r="I6" i="2"/>
  <c r="D21" i="2"/>
  <c r="D13" i="2"/>
  <c r="D5" i="2"/>
  <c r="D16" i="2"/>
  <c r="D4" i="2"/>
  <c r="D23" i="2"/>
  <c r="D19" i="2"/>
  <c r="D15" i="2"/>
  <c r="D11" i="2"/>
  <c r="D7" i="2"/>
  <c r="D3" i="2"/>
  <c r="D17" i="2"/>
  <c r="D9" i="2"/>
  <c r="D20" i="2"/>
  <c r="D12" i="2"/>
  <c r="D8" i="2"/>
  <c r="D22" i="2"/>
  <c r="D18" i="2"/>
  <c r="D14" i="2"/>
  <c r="D10" i="2"/>
  <c r="D6" i="2"/>
  <c r="G13" i="2"/>
  <c r="G5" i="2"/>
  <c r="G16" i="2"/>
  <c r="G12" i="2"/>
  <c r="G8" i="2"/>
  <c r="G4" i="2"/>
  <c r="G23" i="2"/>
  <c r="G19" i="2"/>
  <c r="G15" i="2"/>
  <c r="G11" i="2"/>
  <c r="G7" i="2"/>
  <c r="G3" i="2"/>
  <c r="G21" i="2"/>
  <c r="G17" i="2"/>
  <c r="G9" i="2"/>
  <c r="G20" i="2"/>
  <c r="G22" i="2"/>
  <c r="G18" i="2"/>
  <c r="G14" i="2"/>
  <c r="G10" i="2"/>
  <c r="G6" i="2"/>
  <c r="B21" i="2"/>
  <c r="B17" i="2"/>
  <c r="B13" i="2"/>
  <c r="B9" i="2"/>
  <c r="B5" i="2"/>
  <c r="B20" i="2"/>
  <c r="B16" i="2"/>
  <c r="B12" i="2"/>
  <c r="B8" i="2"/>
  <c r="B4" i="2"/>
  <c r="B23" i="2"/>
  <c r="B19" i="2"/>
  <c r="B15" i="2"/>
  <c r="B11" i="2"/>
  <c r="B7" i="2"/>
  <c r="B3" i="2"/>
  <c r="B22" i="2"/>
  <c r="B18" i="2"/>
  <c r="B14" i="2"/>
  <c r="B10" i="2"/>
  <c r="B6" i="2"/>
</calcChain>
</file>

<file path=xl/sharedStrings.xml><?xml version="1.0" encoding="utf-8"?>
<sst xmlns="http://schemas.openxmlformats.org/spreadsheetml/2006/main" count="42" uniqueCount="28">
  <si>
    <t>VER</t>
  </si>
  <si>
    <t>RED</t>
  </si>
  <si>
    <t>RIC</t>
  </si>
  <si>
    <t>ALT</t>
  </si>
  <si>
    <t>VER-RED-2003-points</t>
  </si>
  <si>
    <t>VER-RED-2003-points-cum</t>
  </si>
  <si>
    <t>Race</t>
  </si>
  <si>
    <t>RIC-ALT-2003-points</t>
  </si>
  <si>
    <t>RIC-ALT-2003-points-cum</t>
  </si>
  <si>
    <t>VER-RED-2003-ppm</t>
  </si>
  <si>
    <t>VER-RED-2003-price</t>
  </si>
  <si>
    <t>RIC-ALT-2003-price</t>
  </si>
  <si>
    <t>RIC-ALT-2003-ppm</t>
  </si>
  <si>
    <t>RED-2003-points</t>
  </si>
  <si>
    <t>RED-2003-points-cum</t>
  </si>
  <si>
    <t>RED-2003-price</t>
  </si>
  <si>
    <t>RED-2003-ppm</t>
  </si>
  <si>
    <t>BEA</t>
  </si>
  <si>
    <t>FER</t>
  </si>
  <si>
    <t>HAA</t>
  </si>
  <si>
    <t>BEA-2003-points-cum</t>
  </si>
  <si>
    <t>BEA-2003-points-total</t>
  </si>
  <si>
    <t>BEA-2003-price-total</t>
  </si>
  <si>
    <t>BEA-2003-ppm</t>
  </si>
  <si>
    <t>VER-RED-2003-price-cum</t>
  </si>
  <si>
    <t>RIC-ALT-2003-price-cum</t>
  </si>
  <si>
    <t>RED-2003-price-cum</t>
  </si>
  <si>
    <t>BEA-2003-price-total-cum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</si>
</sst>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Inte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E5DB-5BF7-41CE-BB16-C410E9F3C59E}">
  <dimension ref="A1:P23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K30" sqref="K30"/>
    </sheetView>
  </sheetViews>
  <sheetFormatPr defaultRowHeight="12.75"/>
  <cols>
    <col min="1" max="1" width="4.7109375" style="3" bestFit="1" customWidth="1"/>
    <col min="2" max="2" width="17.85546875" style="3" bestFit="1" customWidth="1"/>
    <col min="3" max="3" width="21.85546875" style="3" bestFit="1" customWidth="1"/>
    <col min="4" max="4" width="16.7109375" style="3" bestFit="1" customWidth="1"/>
    <col min="5" max="5" width="20.7109375" style="3" bestFit="1" customWidth="1"/>
    <col min="6" max="6" width="16.140625" style="3" bestFit="1" customWidth="1"/>
    <col min="7" max="7" width="17" style="3" bestFit="1" customWidth="1"/>
    <col min="8" max="8" width="21" style="3" bestFit="1" customWidth="1"/>
    <col min="9" max="9" width="16" style="3" bestFit="1" customWidth="1"/>
    <col min="10" max="10" width="20" style="3" bestFit="1" customWidth="1"/>
    <col min="11" max="11" width="15.42578125" style="3" bestFit="1" customWidth="1"/>
    <col min="12" max="12" width="14.140625" style="3" bestFit="1" customWidth="1"/>
    <col min="13" max="13" width="18.140625" style="3" bestFit="1" customWidth="1"/>
    <col min="14" max="14" width="13.140625" style="3" bestFit="1" customWidth="1"/>
    <col min="15" max="15" width="17" style="3" bestFit="1" customWidth="1"/>
    <col min="16" max="16" width="12.7109375" style="3" bestFit="1" customWidth="1"/>
    <col min="17" max="16384" width="9.140625" style="3"/>
  </cols>
  <sheetData>
    <row r="1" spans="1:16" s="4" customFormat="1">
      <c r="A1" s="4" t="s">
        <v>6</v>
      </c>
      <c r="B1" s="4" t="s">
        <v>4</v>
      </c>
      <c r="C1" s="4" t="s">
        <v>5</v>
      </c>
      <c r="D1" s="4" t="s">
        <v>10</v>
      </c>
      <c r="E1" s="4" t="s">
        <v>24</v>
      </c>
      <c r="F1" s="4" t="s">
        <v>9</v>
      </c>
      <c r="G1" s="4" t="s">
        <v>7</v>
      </c>
      <c r="H1" s="4" t="s">
        <v>8</v>
      </c>
      <c r="I1" s="4" t="s">
        <v>11</v>
      </c>
      <c r="J1" s="4" t="s">
        <v>25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26</v>
      </c>
      <c r="P1" s="4" t="s">
        <v>16</v>
      </c>
    </row>
    <row r="2" spans="1:16">
      <c r="A2" s="3">
        <v>1</v>
      </c>
      <c r="B2" s="3">
        <f t="array" ref="B2:B23">TRANSPOSE('2023 Actual'!C1:X1)</f>
        <v>35</v>
      </c>
      <c r="C2" s="3">
        <v>0</v>
      </c>
      <c r="D2" s="3">
        <f t="array" ref="D2:D23">TRANSPOSE('2023 Actual'!C2:X2)</f>
        <v>26.9</v>
      </c>
      <c r="E2" s="3">
        <v>0</v>
      </c>
      <c r="G2" s="3">
        <f t="array" ref="G2:G23">TRANSPOSE('2023 Actual'!C3:X3)</f>
        <v>0</v>
      </c>
      <c r="H2" s="3">
        <v>0</v>
      </c>
      <c r="I2" s="3">
        <f t="array" ref="I2:I23">TRANSPOSE('2023 Actual'!C4:X4)</f>
        <v>0</v>
      </c>
      <c r="J2" s="3">
        <v>0</v>
      </c>
      <c r="L2" s="3">
        <f t="array" ref="L2:L23">TRANSPOSE('2023 Actual'!C5:X5)</f>
        <v>78</v>
      </c>
      <c r="M2" s="3">
        <v>0</v>
      </c>
      <c r="N2" s="3">
        <f t="array" ref="N2:N23">TRANSPOSE('2023 Actual'!C6:X6)</f>
        <v>27.2</v>
      </c>
      <c r="O2" s="3">
        <v>0</v>
      </c>
    </row>
    <row r="3" spans="1:16">
      <c r="A3" s="3">
        <v>2</v>
      </c>
      <c r="B3" s="3">
        <v>61</v>
      </c>
      <c r="C3" s="3">
        <f>B2</f>
        <v>35</v>
      </c>
      <c r="D3" s="3">
        <v>27</v>
      </c>
      <c r="E3" s="3">
        <f>D2</f>
        <v>26.9</v>
      </c>
      <c r="F3" s="3">
        <f t="shared" ref="F3:F23" si="0">C3/E3</f>
        <v>1.3011152416356877</v>
      </c>
      <c r="G3" s="3">
        <v>0</v>
      </c>
      <c r="H3" s="3">
        <f>G2</f>
        <v>0</v>
      </c>
      <c r="I3" s="3">
        <v>0</v>
      </c>
      <c r="J3" s="3">
        <f>I2</f>
        <v>0</v>
      </c>
      <c r="L3" s="3">
        <v>95</v>
      </c>
      <c r="M3" s="3">
        <f>L2</f>
        <v>78</v>
      </c>
      <c r="N3" s="3">
        <v>27.3</v>
      </c>
      <c r="O3" s="3">
        <f>N2</f>
        <v>27.2</v>
      </c>
      <c r="P3" s="3">
        <f t="shared" ref="P3:P23" si="1">M3/O3</f>
        <v>2.8676470588235294</v>
      </c>
    </row>
    <row r="4" spans="1:16">
      <c r="A4" s="3">
        <v>3</v>
      </c>
      <c r="B4" s="3">
        <v>36</v>
      </c>
      <c r="C4" s="3">
        <f>SUM(B2:B3)</f>
        <v>96</v>
      </c>
      <c r="D4" s="3">
        <v>27.1</v>
      </c>
      <c r="E4" s="3">
        <f>SUM(D2:D3)</f>
        <v>53.9</v>
      </c>
      <c r="F4" s="3">
        <f t="shared" si="0"/>
        <v>1.7810760667903525</v>
      </c>
      <c r="G4" s="3">
        <v>0</v>
      </c>
      <c r="H4" s="3">
        <f>SUM(G2:G3)</f>
        <v>0</v>
      </c>
      <c r="I4" s="3">
        <v>0</v>
      </c>
      <c r="J4" s="3">
        <f>SUM(I2:I3)</f>
        <v>0</v>
      </c>
      <c r="L4" s="3">
        <v>98</v>
      </c>
      <c r="M4" s="3">
        <f>SUM(L2:L3)</f>
        <v>173</v>
      </c>
      <c r="N4" s="3">
        <v>27.4</v>
      </c>
      <c r="O4" s="3">
        <f>SUM(N2:N3)</f>
        <v>54.5</v>
      </c>
      <c r="P4" s="3">
        <f t="shared" si="1"/>
        <v>3.1743119266055047</v>
      </c>
    </row>
    <row r="5" spans="1:16">
      <c r="A5" s="3">
        <v>4</v>
      </c>
      <c r="B5" s="3">
        <v>37</v>
      </c>
      <c r="C5" s="3">
        <f>SUM(B2:B4)</f>
        <v>132</v>
      </c>
      <c r="D5" s="3">
        <v>27.2</v>
      </c>
      <c r="E5" s="3">
        <f>SUM(D2:D4)</f>
        <v>81</v>
      </c>
      <c r="F5" s="3">
        <f t="shared" si="0"/>
        <v>1.6296296296296295</v>
      </c>
      <c r="G5" s="3">
        <v>0</v>
      </c>
      <c r="H5" s="3">
        <f>SUM(G2:G4)</f>
        <v>0</v>
      </c>
      <c r="I5" s="3">
        <v>0</v>
      </c>
      <c r="J5" s="3">
        <f>SUM(I2:I4)</f>
        <v>0</v>
      </c>
      <c r="L5" s="3">
        <v>108</v>
      </c>
      <c r="M5" s="3">
        <f>SUM(L2:L4)</f>
        <v>271</v>
      </c>
      <c r="N5" s="3">
        <v>27.5</v>
      </c>
      <c r="O5" s="3">
        <f>SUM(N2:N4)</f>
        <v>81.900000000000006</v>
      </c>
      <c r="P5" s="3">
        <f t="shared" si="1"/>
        <v>3.3089133089133087</v>
      </c>
    </row>
    <row r="6" spans="1:16">
      <c r="A6" s="3">
        <v>5</v>
      </c>
      <c r="B6" s="3">
        <v>64</v>
      </c>
      <c r="C6" s="3">
        <f t="shared" ref="C6:E23" si="2">SUM(B3:B5)</f>
        <v>134</v>
      </c>
      <c r="D6" s="3">
        <v>27.3</v>
      </c>
      <c r="E6" s="3">
        <f t="shared" si="2"/>
        <v>81.3</v>
      </c>
      <c r="F6" s="3">
        <f t="shared" si="0"/>
        <v>1.6482164821648218</v>
      </c>
      <c r="G6" s="3">
        <v>0</v>
      </c>
      <c r="H6" s="3">
        <f t="shared" ref="H6" si="3">SUM(G3:G5)</f>
        <v>0</v>
      </c>
      <c r="I6" s="3">
        <v>0</v>
      </c>
      <c r="J6" s="3">
        <f t="shared" ref="J6" si="4">SUM(I3:I5)</f>
        <v>0</v>
      </c>
      <c r="L6" s="3">
        <v>97</v>
      </c>
      <c r="M6" s="3">
        <f t="shared" ref="M6:M23" si="5">SUM(L3:L5)</f>
        <v>301</v>
      </c>
      <c r="N6" s="3">
        <v>27.6</v>
      </c>
      <c r="O6" s="3">
        <f t="shared" ref="O6:O23" si="6">SUM(N3:N5)</f>
        <v>82.2</v>
      </c>
      <c r="P6" s="3">
        <f t="shared" si="1"/>
        <v>3.6618004866180049</v>
      </c>
    </row>
    <row r="7" spans="1:16">
      <c r="A7" s="3">
        <v>6</v>
      </c>
      <c r="B7" s="3">
        <v>35</v>
      </c>
      <c r="C7" s="3">
        <f t="shared" si="2"/>
        <v>137</v>
      </c>
      <c r="D7" s="3">
        <v>27.4</v>
      </c>
      <c r="E7" s="3">
        <f t="shared" si="2"/>
        <v>81.599999999999994</v>
      </c>
      <c r="F7" s="3">
        <f t="shared" si="0"/>
        <v>1.678921568627451</v>
      </c>
      <c r="G7" s="3">
        <v>0</v>
      </c>
      <c r="H7" s="3">
        <f t="shared" ref="H7" si="7">SUM(G4:G6)</f>
        <v>0</v>
      </c>
      <c r="I7" s="3">
        <v>0</v>
      </c>
      <c r="J7" s="3">
        <f t="shared" ref="J7" si="8">SUM(I4:I6)</f>
        <v>0</v>
      </c>
      <c r="L7" s="3">
        <v>63</v>
      </c>
      <c r="M7" s="3">
        <f t="shared" si="5"/>
        <v>303</v>
      </c>
      <c r="N7" s="3">
        <v>27.7</v>
      </c>
      <c r="O7" s="3">
        <f t="shared" si="6"/>
        <v>82.5</v>
      </c>
      <c r="P7" s="3">
        <f t="shared" si="1"/>
        <v>3.6727272727272728</v>
      </c>
    </row>
    <row r="8" spans="1:16">
      <c r="A8" s="3">
        <v>7</v>
      </c>
      <c r="B8" s="3">
        <v>46</v>
      </c>
      <c r="C8" s="3">
        <f t="shared" si="2"/>
        <v>136</v>
      </c>
      <c r="D8" s="3">
        <v>27.5</v>
      </c>
      <c r="E8" s="3">
        <f t="shared" si="2"/>
        <v>81.900000000000006</v>
      </c>
      <c r="F8" s="3">
        <f t="shared" si="0"/>
        <v>1.6605616605616604</v>
      </c>
      <c r="G8" s="3">
        <v>0</v>
      </c>
      <c r="H8" s="3">
        <f t="shared" ref="H8" si="9">SUM(G5:G7)</f>
        <v>0</v>
      </c>
      <c r="I8" s="3">
        <v>0</v>
      </c>
      <c r="J8" s="3">
        <f t="shared" ref="J8" si="10">SUM(I5:I7)</f>
        <v>0</v>
      </c>
      <c r="L8" s="3">
        <v>96</v>
      </c>
      <c r="M8" s="3">
        <f t="shared" si="5"/>
        <v>268</v>
      </c>
      <c r="N8" s="3">
        <v>27.8</v>
      </c>
      <c r="O8" s="3">
        <f t="shared" si="6"/>
        <v>82.8</v>
      </c>
      <c r="P8" s="3">
        <f t="shared" si="1"/>
        <v>3.2367149758454108</v>
      </c>
    </row>
    <row r="9" spans="1:16">
      <c r="A9" s="3">
        <v>8</v>
      </c>
      <c r="B9" s="3">
        <v>35</v>
      </c>
      <c r="C9" s="3">
        <f t="shared" si="2"/>
        <v>145</v>
      </c>
      <c r="D9" s="3">
        <v>27.6</v>
      </c>
      <c r="E9" s="3">
        <f t="shared" si="2"/>
        <v>82.2</v>
      </c>
      <c r="F9" s="3">
        <f t="shared" si="0"/>
        <v>1.7639902676399026</v>
      </c>
      <c r="G9" s="3">
        <v>0</v>
      </c>
      <c r="H9" s="3">
        <f t="shared" ref="H9" si="11">SUM(G6:G8)</f>
        <v>0</v>
      </c>
      <c r="I9" s="3">
        <v>0</v>
      </c>
      <c r="J9" s="3">
        <f t="shared" ref="J9" si="12">SUM(I6:I8)</f>
        <v>0</v>
      </c>
      <c r="L9" s="3">
        <v>86</v>
      </c>
      <c r="M9" s="3">
        <f t="shared" si="5"/>
        <v>256</v>
      </c>
      <c r="N9" s="3">
        <v>27.9</v>
      </c>
      <c r="O9" s="3">
        <f t="shared" si="6"/>
        <v>83.1</v>
      </c>
      <c r="P9" s="3">
        <f t="shared" si="1"/>
        <v>3.0806257521058966</v>
      </c>
    </row>
    <row r="10" spans="1:16">
      <c r="A10" s="3">
        <v>9</v>
      </c>
      <c r="B10" s="3">
        <v>56</v>
      </c>
      <c r="C10" s="3">
        <f t="shared" si="2"/>
        <v>116</v>
      </c>
      <c r="D10" s="3">
        <v>27.8</v>
      </c>
      <c r="E10" s="3">
        <f t="shared" si="2"/>
        <v>82.5</v>
      </c>
      <c r="F10" s="3">
        <f t="shared" si="0"/>
        <v>1.406060606060606</v>
      </c>
      <c r="G10" s="3">
        <v>0</v>
      </c>
      <c r="H10" s="3">
        <f t="shared" ref="H10" si="13">SUM(G7:G9)</f>
        <v>0</v>
      </c>
      <c r="I10" s="3">
        <v>0</v>
      </c>
      <c r="J10" s="3">
        <f t="shared" ref="J10" si="14">SUM(I7:I9)</f>
        <v>0</v>
      </c>
      <c r="L10" s="3">
        <v>112</v>
      </c>
      <c r="M10" s="3">
        <f t="shared" si="5"/>
        <v>245</v>
      </c>
      <c r="N10" s="3">
        <v>28.1</v>
      </c>
      <c r="O10" s="3">
        <f t="shared" si="6"/>
        <v>83.4</v>
      </c>
      <c r="P10" s="3">
        <f t="shared" si="1"/>
        <v>2.9376498800959232</v>
      </c>
    </row>
    <row r="11" spans="1:16">
      <c r="A11" s="3">
        <v>10</v>
      </c>
      <c r="B11" s="3">
        <v>46</v>
      </c>
      <c r="C11" s="3">
        <f t="shared" si="2"/>
        <v>137</v>
      </c>
      <c r="D11" s="3">
        <v>27.9</v>
      </c>
      <c r="E11" s="3">
        <f t="shared" si="2"/>
        <v>82.9</v>
      </c>
      <c r="F11" s="3">
        <f t="shared" si="0"/>
        <v>1.6525934861278648</v>
      </c>
      <c r="G11" s="3">
        <v>0</v>
      </c>
      <c r="H11" s="3">
        <f t="shared" ref="H11" si="15">SUM(G8:G10)</f>
        <v>0</v>
      </c>
      <c r="I11" s="3">
        <v>0</v>
      </c>
      <c r="J11" s="3">
        <f t="shared" ref="J11" si="16">SUM(I8:I10)</f>
        <v>0</v>
      </c>
      <c r="L11" s="3">
        <v>77</v>
      </c>
      <c r="M11" s="3">
        <f t="shared" si="5"/>
        <v>294</v>
      </c>
      <c r="N11" s="3">
        <v>28.2</v>
      </c>
      <c r="O11" s="3">
        <f t="shared" si="6"/>
        <v>83.800000000000011</v>
      </c>
      <c r="P11" s="3">
        <f t="shared" si="1"/>
        <v>3.5083532219570399</v>
      </c>
    </row>
    <row r="12" spans="1:16">
      <c r="A12" s="3">
        <v>11</v>
      </c>
      <c r="B12" s="3">
        <v>46</v>
      </c>
      <c r="C12" s="3">
        <f t="shared" si="2"/>
        <v>137</v>
      </c>
      <c r="D12" s="3">
        <v>28.1</v>
      </c>
      <c r="E12" s="3">
        <f t="shared" si="2"/>
        <v>83.300000000000011</v>
      </c>
      <c r="F12" s="3">
        <f t="shared" si="0"/>
        <v>1.644657863145258</v>
      </c>
      <c r="G12" s="3">
        <v>2</v>
      </c>
      <c r="H12" s="3">
        <f t="shared" ref="H12" si="17">SUM(G9:G11)</f>
        <v>0</v>
      </c>
      <c r="I12" s="3">
        <v>4.5</v>
      </c>
      <c r="J12" s="3">
        <f t="shared" ref="J12" si="18">SUM(I9:I11)</f>
        <v>0</v>
      </c>
      <c r="L12" s="3">
        <v>95</v>
      </c>
      <c r="M12" s="3">
        <f t="shared" si="5"/>
        <v>275</v>
      </c>
      <c r="N12" s="3">
        <v>28.4</v>
      </c>
      <c r="O12" s="3">
        <f t="shared" si="6"/>
        <v>84.2</v>
      </c>
      <c r="P12" s="3">
        <f t="shared" si="1"/>
        <v>3.2660332541567696</v>
      </c>
    </row>
    <row r="13" spans="1:16">
      <c r="A13" s="3">
        <v>12</v>
      </c>
      <c r="B13" s="3">
        <v>68</v>
      </c>
      <c r="C13" s="3">
        <f t="shared" si="2"/>
        <v>148</v>
      </c>
      <c r="D13" s="3">
        <v>28.3</v>
      </c>
      <c r="E13" s="3">
        <f t="shared" si="2"/>
        <v>83.800000000000011</v>
      </c>
      <c r="F13" s="3">
        <f t="shared" si="0"/>
        <v>1.7661097852028638</v>
      </c>
      <c r="G13" s="3">
        <v>7</v>
      </c>
      <c r="H13" s="3">
        <f t="shared" ref="H13" si="19">SUM(G10:G12)</f>
        <v>2</v>
      </c>
      <c r="I13" s="3">
        <v>4.5</v>
      </c>
      <c r="J13" s="3">
        <f t="shared" ref="J13" si="20">SUM(I10:I12)</f>
        <v>4.5</v>
      </c>
      <c r="K13" s="3">
        <f t="shared" ref="K2:K22" si="21">H13/J13</f>
        <v>0.44444444444444442</v>
      </c>
      <c r="L13" s="3">
        <v>80</v>
      </c>
      <c r="M13" s="3">
        <f t="shared" si="5"/>
        <v>284</v>
      </c>
      <c r="N13" s="3">
        <v>28.6</v>
      </c>
      <c r="O13" s="3">
        <f t="shared" si="6"/>
        <v>84.699999999999989</v>
      </c>
      <c r="P13" s="3">
        <f t="shared" si="1"/>
        <v>3.3530106257378991</v>
      </c>
    </row>
    <row r="14" spans="1:16">
      <c r="A14" s="3">
        <v>13</v>
      </c>
      <c r="B14" s="3">
        <v>46</v>
      </c>
      <c r="C14" s="3">
        <f t="shared" si="2"/>
        <v>160</v>
      </c>
      <c r="D14" s="3">
        <v>28.5</v>
      </c>
      <c r="E14" s="3">
        <f t="shared" si="2"/>
        <v>84.3</v>
      </c>
      <c r="F14" s="3">
        <f t="shared" si="0"/>
        <v>1.8979833926453145</v>
      </c>
      <c r="G14" s="3">
        <v>0</v>
      </c>
      <c r="H14" s="3">
        <f t="shared" ref="H14" si="22">SUM(G11:G13)</f>
        <v>9</v>
      </c>
      <c r="I14" s="3">
        <v>0</v>
      </c>
      <c r="J14" s="3">
        <f t="shared" ref="J14" si="23">SUM(I11:I13)</f>
        <v>9</v>
      </c>
      <c r="K14" s="3">
        <f t="shared" si="21"/>
        <v>1</v>
      </c>
      <c r="L14" s="3">
        <v>101</v>
      </c>
      <c r="M14" s="3">
        <f t="shared" si="5"/>
        <v>252</v>
      </c>
      <c r="N14" s="3">
        <v>28.7</v>
      </c>
      <c r="O14" s="3">
        <f t="shared" si="6"/>
        <v>85.199999999999989</v>
      </c>
      <c r="P14" s="3">
        <f t="shared" si="1"/>
        <v>2.9577464788732399</v>
      </c>
    </row>
    <row r="15" spans="1:16">
      <c r="A15" s="3">
        <v>14</v>
      </c>
      <c r="B15" s="3">
        <v>38</v>
      </c>
      <c r="C15" s="3">
        <f t="shared" si="2"/>
        <v>160</v>
      </c>
      <c r="D15" s="3">
        <v>28.6</v>
      </c>
      <c r="E15" s="3">
        <f t="shared" si="2"/>
        <v>84.9</v>
      </c>
      <c r="F15" s="3">
        <f t="shared" si="0"/>
        <v>1.884570082449941</v>
      </c>
      <c r="G15" s="3">
        <v>0</v>
      </c>
      <c r="H15" s="3">
        <f t="shared" ref="H15" si="24">SUM(G12:G14)</f>
        <v>9</v>
      </c>
      <c r="I15" s="3">
        <v>0</v>
      </c>
      <c r="J15" s="3">
        <f t="shared" ref="J15" si="25">SUM(I12:I14)</f>
        <v>9</v>
      </c>
      <c r="K15" s="3">
        <f t="shared" si="21"/>
        <v>1</v>
      </c>
      <c r="L15" s="3">
        <v>81</v>
      </c>
      <c r="M15" s="3">
        <f t="shared" si="5"/>
        <v>276</v>
      </c>
      <c r="N15" s="3">
        <v>28.8</v>
      </c>
      <c r="O15" s="3">
        <f t="shared" si="6"/>
        <v>85.7</v>
      </c>
      <c r="P15" s="3">
        <f t="shared" si="1"/>
        <v>3.220536756126021</v>
      </c>
    </row>
    <row r="16" spans="1:16">
      <c r="A16" s="3">
        <v>15</v>
      </c>
      <c r="B16" s="3">
        <v>25</v>
      </c>
      <c r="C16" s="3">
        <f t="shared" si="2"/>
        <v>152</v>
      </c>
      <c r="D16" s="3">
        <v>28.8</v>
      </c>
      <c r="E16" s="3">
        <f t="shared" si="2"/>
        <v>85.4</v>
      </c>
      <c r="F16" s="3">
        <f t="shared" si="0"/>
        <v>1.7798594847775175</v>
      </c>
      <c r="G16" s="3">
        <v>0</v>
      </c>
      <c r="H16" s="3">
        <f t="shared" ref="H16" si="26">SUM(G13:G15)</f>
        <v>7</v>
      </c>
      <c r="I16" s="3">
        <v>0</v>
      </c>
      <c r="J16" s="3">
        <f t="shared" ref="J16" si="27">SUM(I13:I15)</f>
        <v>4.5</v>
      </c>
      <c r="K16" s="3">
        <f t="shared" si="21"/>
        <v>1.5555555555555556</v>
      </c>
      <c r="L16" s="3">
        <v>54</v>
      </c>
      <c r="M16" s="3">
        <f t="shared" si="5"/>
        <v>262</v>
      </c>
      <c r="N16" s="3">
        <v>29</v>
      </c>
      <c r="O16" s="3">
        <f t="shared" si="6"/>
        <v>86.1</v>
      </c>
      <c r="P16" s="3">
        <f t="shared" si="1"/>
        <v>3.0429732868757262</v>
      </c>
    </row>
    <row r="17" spans="1:16">
      <c r="A17" s="3">
        <v>16</v>
      </c>
      <c r="B17" s="3">
        <v>47</v>
      </c>
      <c r="C17" s="3">
        <f t="shared" si="2"/>
        <v>109</v>
      </c>
      <c r="D17" s="3">
        <v>28.9</v>
      </c>
      <c r="E17" s="3">
        <f t="shared" si="2"/>
        <v>85.9</v>
      </c>
      <c r="F17" s="3">
        <f t="shared" si="0"/>
        <v>1.2689173457508731</v>
      </c>
      <c r="G17" s="3">
        <v>0</v>
      </c>
      <c r="H17" s="3">
        <f t="shared" ref="H17" si="28">SUM(G14:G16)</f>
        <v>0</v>
      </c>
      <c r="I17" s="3">
        <v>0</v>
      </c>
      <c r="J17" s="3">
        <f t="shared" ref="J17" si="29">SUM(I14:I16)</f>
        <v>0</v>
      </c>
      <c r="L17" s="3">
        <v>46</v>
      </c>
      <c r="M17" s="3">
        <f t="shared" si="5"/>
        <v>236</v>
      </c>
      <c r="N17" s="3">
        <v>29.1</v>
      </c>
      <c r="O17" s="3">
        <f t="shared" si="6"/>
        <v>86.5</v>
      </c>
      <c r="P17" s="3">
        <f t="shared" si="1"/>
        <v>2.7283236994219653</v>
      </c>
    </row>
    <row r="18" spans="1:16">
      <c r="A18" s="3">
        <v>17</v>
      </c>
      <c r="B18" s="3">
        <v>62</v>
      </c>
      <c r="C18" s="3">
        <f t="shared" si="2"/>
        <v>110</v>
      </c>
      <c r="D18" s="3">
        <v>29.1</v>
      </c>
      <c r="E18" s="3">
        <f t="shared" si="2"/>
        <v>86.300000000000011</v>
      </c>
      <c r="F18" s="3">
        <f t="shared" si="0"/>
        <v>1.2746234067207414</v>
      </c>
      <c r="G18" s="3">
        <v>0</v>
      </c>
      <c r="H18" s="3">
        <f t="shared" ref="H18" si="30">SUM(G15:G17)</f>
        <v>0</v>
      </c>
      <c r="I18" s="3">
        <v>0</v>
      </c>
      <c r="J18" s="3">
        <f t="shared" ref="J18" si="31">SUM(I15:I17)</f>
        <v>0</v>
      </c>
      <c r="L18" s="3">
        <v>64</v>
      </c>
      <c r="M18" s="3">
        <f t="shared" si="5"/>
        <v>181</v>
      </c>
      <c r="N18" s="3">
        <v>29.2</v>
      </c>
      <c r="O18" s="3">
        <f t="shared" si="6"/>
        <v>86.9</v>
      </c>
      <c r="P18" s="3">
        <f t="shared" si="1"/>
        <v>2.0828538550057538</v>
      </c>
    </row>
    <row r="19" spans="1:16">
      <c r="A19" s="3">
        <v>18</v>
      </c>
      <c r="B19" s="3">
        <v>53</v>
      </c>
      <c r="C19" s="3">
        <f t="shared" si="2"/>
        <v>134</v>
      </c>
      <c r="D19" s="3">
        <v>29.3</v>
      </c>
      <c r="E19" s="3">
        <f t="shared" si="2"/>
        <v>86.800000000000011</v>
      </c>
      <c r="F19" s="3">
        <f t="shared" si="0"/>
        <v>1.5437788018433178</v>
      </c>
      <c r="G19" s="3">
        <v>1</v>
      </c>
      <c r="H19" s="3">
        <f t="shared" ref="H19" si="32">SUM(G16:G18)</f>
        <v>0</v>
      </c>
      <c r="I19" s="3">
        <v>4.5</v>
      </c>
      <c r="J19" s="3">
        <f t="shared" ref="J19" si="33">SUM(I16:I18)</f>
        <v>0</v>
      </c>
      <c r="L19" s="3">
        <v>95</v>
      </c>
      <c r="M19" s="3">
        <f t="shared" si="5"/>
        <v>164</v>
      </c>
      <c r="N19" s="3">
        <v>29.3</v>
      </c>
      <c r="O19" s="3">
        <f t="shared" si="6"/>
        <v>87.3</v>
      </c>
      <c r="P19" s="3">
        <f t="shared" si="1"/>
        <v>1.8785796105383734</v>
      </c>
    </row>
    <row r="20" spans="1:16">
      <c r="A20" s="3">
        <v>19</v>
      </c>
      <c r="B20" s="3">
        <v>42</v>
      </c>
      <c r="C20" s="3">
        <f t="shared" si="2"/>
        <v>162</v>
      </c>
      <c r="D20" s="3">
        <v>29.5</v>
      </c>
      <c r="E20" s="3">
        <f t="shared" si="2"/>
        <v>87.3</v>
      </c>
      <c r="F20" s="3">
        <f t="shared" si="0"/>
        <v>1.8556701030927836</v>
      </c>
      <c r="G20" s="3">
        <v>12</v>
      </c>
      <c r="H20" s="3">
        <f t="shared" ref="H20" si="34">SUM(G17:G19)</f>
        <v>1</v>
      </c>
      <c r="I20" s="3">
        <v>4.5</v>
      </c>
      <c r="J20" s="3">
        <f t="shared" ref="J20" si="35">SUM(I17:I19)</f>
        <v>4.5</v>
      </c>
      <c r="K20" s="3">
        <f t="shared" si="21"/>
        <v>0.22222222222222221</v>
      </c>
      <c r="L20" s="3">
        <v>45</v>
      </c>
      <c r="M20" s="3">
        <f t="shared" si="5"/>
        <v>205</v>
      </c>
      <c r="N20" s="3">
        <v>29.4</v>
      </c>
      <c r="O20" s="3">
        <f t="shared" si="6"/>
        <v>87.6</v>
      </c>
      <c r="P20" s="3">
        <f t="shared" si="1"/>
        <v>2.3401826484018264</v>
      </c>
    </row>
    <row r="21" spans="1:16">
      <c r="A21" s="3">
        <v>20</v>
      </c>
      <c r="B21" s="3">
        <v>45</v>
      </c>
      <c r="C21" s="3">
        <f t="shared" si="2"/>
        <v>157</v>
      </c>
      <c r="D21" s="3">
        <v>29.7</v>
      </c>
      <c r="E21" s="3">
        <f t="shared" si="2"/>
        <v>87.9</v>
      </c>
      <c r="F21" s="3">
        <f t="shared" si="0"/>
        <v>1.7861205915813423</v>
      </c>
      <c r="G21" s="3">
        <v>10</v>
      </c>
      <c r="H21" s="3">
        <f t="shared" ref="H21" si="36">SUM(G18:G20)</f>
        <v>13</v>
      </c>
      <c r="I21" s="3">
        <v>5</v>
      </c>
      <c r="J21" s="3">
        <f t="shared" ref="J21" si="37">SUM(I18:I20)</f>
        <v>9</v>
      </c>
      <c r="K21" s="3">
        <f t="shared" si="21"/>
        <v>1.4444444444444444</v>
      </c>
      <c r="L21" s="3">
        <v>105</v>
      </c>
      <c r="M21" s="3">
        <f t="shared" si="5"/>
        <v>204</v>
      </c>
      <c r="N21" s="3">
        <v>29.4</v>
      </c>
      <c r="O21" s="3">
        <f t="shared" si="6"/>
        <v>87.9</v>
      </c>
      <c r="P21" s="3">
        <f t="shared" si="1"/>
        <v>2.3208191126279862</v>
      </c>
    </row>
    <row r="22" spans="1:16">
      <c r="A22" s="3">
        <v>21</v>
      </c>
      <c r="B22" s="3">
        <v>44</v>
      </c>
      <c r="C22" s="3">
        <f t="shared" si="2"/>
        <v>140</v>
      </c>
      <c r="D22" s="3">
        <v>29.9</v>
      </c>
      <c r="E22" s="3">
        <f t="shared" si="2"/>
        <v>88.5</v>
      </c>
      <c r="F22" s="3">
        <f t="shared" si="0"/>
        <v>1.5819209039548023</v>
      </c>
      <c r="G22" s="3">
        <v>6</v>
      </c>
      <c r="H22" s="3">
        <f t="shared" ref="H22" si="38">SUM(G19:G21)</f>
        <v>23</v>
      </c>
      <c r="I22" s="3">
        <v>5.5</v>
      </c>
      <c r="J22" s="3">
        <f t="shared" ref="J22" si="39">SUM(I19:I21)</f>
        <v>14</v>
      </c>
      <c r="K22" s="3">
        <f t="shared" si="21"/>
        <v>1.6428571428571428</v>
      </c>
      <c r="L22" s="3">
        <v>84</v>
      </c>
      <c r="M22" s="3">
        <f t="shared" si="5"/>
        <v>245</v>
      </c>
      <c r="N22" s="3">
        <v>29.6</v>
      </c>
      <c r="O22" s="3">
        <f t="shared" si="6"/>
        <v>88.1</v>
      </c>
      <c r="P22" s="3">
        <f t="shared" si="1"/>
        <v>2.7809307604994324</v>
      </c>
    </row>
    <row r="23" spans="1:16">
      <c r="A23" s="3">
        <v>22</v>
      </c>
      <c r="B23" s="3">
        <v>47</v>
      </c>
      <c r="C23" s="3">
        <f t="shared" si="2"/>
        <v>131</v>
      </c>
      <c r="D23" s="3">
        <v>30</v>
      </c>
      <c r="E23" s="3">
        <f t="shared" si="2"/>
        <v>89.1</v>
      </c>
      <c r="F23" s="3">
        <f t="shared" si="0"/>
        <v>1.4702581369248038</v>
      </c>
      <c r="G23" s="3">
        <v>11</v>
      </c>
      <c r="H23" s="3">
        <f t="shared" ref="H23" si="40">SUM(G20:G22)</f>
        <v>28</v>
      </c>
      <c r="I23" s="3">
        <v>5.5</v>
      </c>
      <c r="J23" s="3">
        <f t="shared" ref="J23" si="41">SUM(I20:I22)</f>
        <v>15</v>
      </c>
      <c r="K23" s="3">
        <f>H23/J23</f>
        <v>1.8666666666666667</v>
      </c>
      <c r="L23" s="3">
        <v>87</v>
      </c>
      <c r="M23" s="3">
        <f t="shared" si="5"/>
        <v>234</v>
      </c>
      <c r="N23" s="3">
        <v>29.7</v>
      </c>
      <c r="O23" s="3">
        <f t="shared" si="6"/>
        <v>88.4</v>
      </c>
      <c r="P23" s="3">
        <f t="shared" si="1"/>
        <v>2.6470588235294117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4C22-B1F0-4432-9D5D-AC861A522885}">
  <dimension ref="A1:X6"/>
  <sheetViews>
    <sheetView workbookViewId="0">
      <selection activeCell="C8" sqref="C8"/>
    </sheetView>
  </sheetViews>
  <sheetFormatPr defaultRowHeight="15"/>
  <sheetData>
    <row r="1" spans="1:24" s="2" customFormat="1">
      <c r="A1" s="1" t="s">
        <v>0</v>
      </c>
      <c r="B1" s="1" t="s">
        <v>1</v>
      </c>
      <c r="C1" s="1">
        <v>35</v>
      </c>
      <c r="D1" s="1">
        <v>61</v>
      </c>
      <c r="E1" s="1">
        <v>36</v>
      </c>
      <c r="F1" s="1">
        <v>37</v>
      </c>
      <c r="G1" s="1">
        <v>64</v>
      </c>
      <c r="H1" s="1">
        <v>35</v>
      </c>
      <c r="I1" s="1">
        <v>46</v>
      </c>
      <c r="J1" s="1">
        <v>35</v>
      </c>
      <c r="K1" s="1">
        <v>56</v>
      </c>
      <c r="L1" s="1">
        <v>46</v>
      </c>
      <c r="M1" s="1">
        <v>46</v>
      </c>
      <c r="N1" s="1">
        <v>68</v>
      </c>
      <c r="O1" s="1">
        <v>46</v>
      </c>
      <c r="P1" s="1">
        <v>38</v>
      </c>
      <c r="Q1" s="1">
        <v>25</v>
      </c>
      <c r="R1" s="1">
        <v>47</v>
      </c>
      <c r="S1" s="1">
        <v>62</v>
      </c>
      <c r="T1" s="1">
        <v>53</v>
      </c>
      <c r="U1" s="1">
        <v>42</v>
      </c>
      <c r="V1" s="1">
        <v>45</v>
      </c>
      <c r="W1" s="1">
        <v>44</v>
      </c>
      <c r="X1" s="1">
        <v>47</v>
      </c>
    </row>
    <row r="2" spans="1:24" s="2" customFormat="1">
      <c r="A2" s="1" t="s">
        <v>0</v>
      </c>
      <c r="B2" s="1" t="s">
        <v>1</v>
      </c>
      <c r="C2" s="1">
        <v>26.9</v>
      </c>
      <c r="D2" s="1">
        <v>27</v>
      </c>
      <c r="E2" s="1">
        <v>27.1</v>
      </c>
      <c r="F2" s="1">
        <v>27.2</v>
      </c>
      <c r="G2" s="1">
        <v>27.3</v>
      </c>
      <c r="H2" s="1">
        <v>27.4</v>
      </c>
      <c r="I2" s="1">
        <v>27.5</v>
      </c>
      <c r="J2" s="1">
        <v>27.6</v>
      </c>
      <c r="K2" s="1">
        <v>27.8</v>
      </c>
      <c r="L2" s="1">
        <v>27.9</v>
      </c>
      <c r="M2" s="1">
        <v>28.1</v>
      </c>
      <c r="N2" s="1">
        <v>28.3</v>
      </c>
      <c r="O2" s="1">
        <v>28.5</v>
      </c>
      <c r="P2" s="1">
        <v>28.6</v>
      </c>
      <c r="Q2" s="1">
        <v>28.8</v>
      </c>
      <c r="R2" s="1">
        <v>28.9</v>
      </c>
      <c r="S2" s="1">
        <v>29.1</v>
      </c>
      <c r="T2" s="1">
        <v>29.3</v>
      </c>
      <c r="U2" s="1">
        <v>29.5</v>
      </c>
      <c r="V2" s="1">
        <v>29.7</v>
      </c>
      <c r="W2" s="1">
        <v>29.9</v>
      </c>
      <c r="X2" s="1">
        <v>30</v>
      </c>
    </row>
    <row r="3" spans="1:24" s="2" customFormat="1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>
        <v>2</v>
      </c>
      <c r="N3" s="1">
        <v>7</v>
      </c>
      <c r="O3" s="1"/>
      <c r="P3" s="1"/>
      <c r="Q3" s="1"/>
      <c r="R3" s="1"/>
      <c r="S3" s="1"/>
      <c r="T3" s="1">
        <v>1</v>
      </c>
      <c r="U3" s="1">
        <v>12</v>
      </c>
      <c r="V3" s="1">
        <v>10</v>
      </c>
      <c r="W3" s="1">
        <v>6</v>
      </c>
      <c r="X3" s="1">
        <v>11</v>
      </c>
    </row>
    <row r="4" spans="1:24" s="2" customFormat="1">
      <c r="A4" s="1" t="s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4.5</v>
      </c>
      <c r="N4" s="1">
        <v>4.5</v>
      </c>
      <c r="O4" s="1"/>
      <c r="P4" s="1"/>
      <c r="Q4" s="1"/>
      <c r="R4" s="1"/>
      <c r="S4" s="1"/>
      <c r="T4" s="1">
        <v>4.5</v>
      </c>
      <c r="U4" s="1">
        <v>4.5</v>
      </c>
      <c r="V4" s="1">
        <v>5</v>
      </c>
      <c r="W4" s="1">
        <v>5.5</v>
      </c>
      <c r="X4" s="1">
        <v>5.5</v>
      </c>
    </row>
    <row r="5" spans="1:24">
      <c r="B5" s="1" t="s">
        <v>1</v>
      </c>
      <c r="C5" s="1">
        <v>78</v>
      </c>
      <c r="D5" s="1">
        <v>95</v>
      </c>
      <c r="E5" s="1">
        <v>98</v>
      </c>
      <c r="F5" s="1">
        <v>108</v>
      </c>
      <c r="G5" s="1">
        <v>97</v>
      </c>
      <c r="H5" s="1">
        <v>63</v>
      </c>
      <c r="I5" s="1">
        <v>96</v>
      </c>
      <c r="J5" s="1">
        <v>86</v>
      </c>
      <c r="K5" s="1">
        <v>112</v>
      </c>
      <c r="L5" s="1">
        <v>77</v>
      </c>
      <c r="M5" s="1">
        <v>95</v>
      </c>
      <c r="N5" s="1">
        <v>80</v>
      </c>
      <c r="O5" s="1">
        <v>101</v>
      </c>
      <c r="P5" s="1">
        <v>81</v>
      </c>
      <c r="Q5" s="1">
        <v>54</v>
      </c>
      <c r="R5" s="1">
        <v>46</v>
      </c>
      <c r="S5" s="1">
        <v>64</v>
      </c>
      <c r="T5" s="1">
        <v>95</v>
      </c>
      <c r="U5" s="1">
        <v>45</v>
      </c>
      <c r="V5" s="1">
        <v>105</v>
      </c>
      <c r="W5" s="1">
        <v>84</v>
      </c>
      <c r="X5" s="1">
        <v>87</v>
      </c>
    </row>
    <row r="6" spans="1:24">
      <c r="B6" s="1" t="s">
        <v>1</v>
      </c>
      <c r="C6" s="1">
        <v>27.2</v>
      </c>
      <c r="D6" s="1">
        <v>27.3</v>
      </c>
      <c r="E6" s="1">
        <v>27.4</v>
      </c>
      <c r="F6" s="1">
        <v>27.5</v>
      </c>
      <c r="G6" s="1">
        <v>27.6</v>
      </c>
      <c r="H6" s="1">
        <v>27.7</v>
      </c>
      <c r="I6" s="1">
        <v>27.8</v>
      </c>
      <c r="J6" s="1">
        <v>27.9</v>
      </c>
      <c r="K6" s="1">
        <v>28.1</v>
      </c>
      <c r="L6" s="1">
        <v>28.2</v>
      </c>
      <c r="M6" s="1">
        <v>28.4</v>
      </c>
      <c r="N6" s="1">
        <v>28.6</v>
      </c>
      <c r="O6" s="1">
        <v>28.7</v>
      </c>
      <c r="P6" s="1">
        <v>28.8</v>
      </c>
      <c r="Q6" s="1">
        <v>29</v>
      </c>
      <c r="R6" s="1">
        <v>29.1</v>
      </c>
      <c r="S6" s="1">
        <v>29.2</v>
      </c>
      <c r="T6" s="1">
        <v>29.3</v>
      </c>
      <c r="U6" s="1">
        <v>29.4</v>
      </c>
      <c r="V6" s="1">
        <v>29.4</v>
      </c>
      <c r="W6" s="1">
        <v>29.6</v>
      </c>
      <c r="X6" s="1">
        <v>29.7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4D71-4AC0-4629-BA1E-E13CC0397A92}">
  <dimension ref="A1:F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4" sqref="F34"/>
    </sheetView>
  </sheetViews>
  <sheetFormatPr defaultRowHeight="15"/>
  <cols>
    <col min="1" max="1" width="4.5703125" bestFit="1" customWidth="1"/>
    <col min="2" max="2" width="18.5703125" bestFit="1" customWidth="1"/>
    <col min="3" max="3" width="18.140625" bestFit="1" customWidth="1"/>
    <col min="4" max="4" width="17.5703125" bestFit="1" customWidth="1"/>
    <col min="5" max="5" width="17.5703125" customWidth="1"/>
    <col min="6" max="6" width="16.42578125" bestFit="1" customWidth="1"/>
  </cols>
  <sheetData>
    <row r="1" spans="1:6">
      <c r="A1" s="4" t="s">
        <v>6</v>
      </c>
      <c r="B1" s="4" t="s">
        <v>21</v>
      </c>
      <c r="C1" s="4" t="s">
        <v>20</v>
      </c>
      <c r="D1" s="4" t="s">
        <v>22</v>
      </c>
      <c r="E1" s="4" t="s">
        <v>27</v>
      </c>
      <c r="F1" s="4" t="s">
        <v>23</v>
      </c>
    </row>
    <row r="2" spans="1:6">
      <c r="A2" s="3">
        <v>1</v>
      </c>
      <c r="B2" s="3">
        <f t="array" ref="B2:B25">TRANSPOSE('2004 Actual'!C3:Z3)</f>
        <v>0</v>
      </c>
      <c r="C2" s="3">
        <v>0</v>
      </c>
      <c r="D2" s="3">
        <f t="array" ref="D2:D25">TRANSPOSE('2004 Actual'!C6:Z6)</f>
        <v>0</v>
      </c>
      <c r="E2" s="3">
        <v>0</v>
      </c>
      <c r="F2" s="3"/>
    </row>
    <row r="3" spans="1:6">
      <c r="A3" s="3">
        <v>2</v>
      </c>
      <c r="B3" s="3">
        <v>26</v>
      </c>
      <c r="C3" s="3">
        <f>B2</f>
        <v>0</v>
      </c>
      <c r="D3" s="3">
        <v>14</v>
      </c>
      <c r="E3" s="3">
        <f>D2</f>
        <v>0</v>
      </c>
      <c r="F3" s="3"/>
    </row>
    <row r="4" spans="1:6">
      <c r="A4" s="3">
        <v>3</v>
      </c>
      <c r="B4" s="3">
        <v>0</v>
      </c>
      <c r="C4" s="3">
        <f>SUM(B2:B3)</f>
        <v>26</v>
      </c>
      <c r="D4" s="3">
        <v>0</v>
      </c>
      <c r="E4" s="3">
        <f>SUM(D2:D3)</f>
        <v>14</v>
      </c>
      <c r="F4" s="3">
        <f t="shared" ref="F2:F25" si="0">C4/E4</f>
        <v>1.8571428571428572</v>
      </c>
    </row>
    <row r="5" spans="1:6">
      <c r="A5" s="3">
        <v>4</v>
      </c>
      <c r="B5" s="3">
        <v>0</v>
      </c>
      <c r="C5" s="3">
        <f>SUM(B2:B4)</f>
        <v>26</v>
      </c>
      <c r="D5" s="3">
        <v>0</v>
      </c>
      <c r="E5" s="3">
        <f>SUM(D2:D4)</f>
        <v>14</v>
      </c>
      <c r="F5" s="3">
        <f t="shared" si="0"/>
        <v>1.8571428571428572</v>
      </c>
    </row>
    <row r="6" spans="1:6">
      <c r="A6" s="3">
        <v>5</v>
      </c>
      <c r="B6" s="3">
        <v>0</v>
      </c>
      <c r="C6" s="3">
        <f t="shared" ref="C6:C25" si="1">SUM(B3:B5)</f>
        <v>26</v>
      </c>
      <c r="D6" s="3">
        <v>0</v>
      </c>
      <c r="E6" s="3">
        <f t="shared" ref="E6" si="2">SUM(D3:D5)</f>
        <v>14</v>
      </c>
      <c r="F6" s="3">
        <f t="shared" si="0"/>
        <v>1.8571428571428572</v>
      </c>
    </row>
    <row r="7" spans="1:6">
      <c r="A7" s="3">
        <v>6</v>
      </c>
      <c r="B7" s="3">
        <v>0</v>
      </c>
      <c r="C7" s="3">
        <f t="shared" si="1"/>
        <v>0</v>
      </c>
      <c r="D7" s="3">
        <v>0</v>
      </c>
      <c r="E7" s="3">
        <f t="shared" ref="E7" si="3">SUM(D4:D6)</f>
        <v>0</v>
      </c>
      <c r="F7" s="3"/>
    </row>
    <row r="8" spans="1:6">
      <c r="A8" s="3">
        <v>7</v>
      </c>
      <c r="B8" s="3">
        <v>0</v>
      </c>
      <c r="C8" s="3">
        <f t="shared" si="1"/>
        <v>0</v>
      </c>
      <c r="D8" s="3">
        <v>0</v>
      </c>
      <c r="E8" s="3">
        <f t="shared" ref="E8" si="4">SUM(D5:D7)</f>
        <v>0</v>
      </c>
      <c r="F8" s="3"/>
    </row>
    <row r="9" spans="1:6">
      <c r="A9" s="3">
        <v>8</v>
      </c>
      <c r="B9" s="3">
        <v>0</v>
      </c>
      <c r="C9" s="3">
        <f t="shared" si="1"/>
        <v>0</v>
      </c>
      <c r="D9" s="3">
        <v>0</v>
      </c>
      <c r="E9" s="3">
        <f t="shared" ref="E9" si="5">SUM(D6:D8)</f>
        <v>0</v>
      </c>
      <c r="F9" s="3"/>
    </row>
    <row r="10" spans="1:6">
      <c r="A10" s="3">
        <v>9</v>
      </c>
      <c r="B10" s="3">
        <v>0</v>
      </c>
      <c r="C10" s="3">
        <f t="shared" si="1"/>
        <v>0</v>
      </c>
      <c r="D10" s="3">
        <v>0</v>
      </c>
      <c r="E10" s="3">
        <f t="shared" ref="E10" si="6">SUM(D7:D9)</f>
        <v>0</v>
      </c>
      <c r="F10" s="3"/>
    </row>
    <row r="11" spans="1:6">
      <c r="A11" s="3">
        <v>10</v>
      </c>
      <c r="B11" s="3">
        <v>0</v>
      </c>
      <c r="C11" s="3">
        <f t="shared" si="1"/>
        <v>0</v>
      </c>
      <c r="D11" s="3">
        <v>0</v>
      </c>
      <c r="E11" s="3">
        <f t="shared" ref="E11" si="7">SUM(D8:D10)</f>
        <v>0</v>
      </c>
      <c r="F11" s="3"/>
    </row>
    <row r="12" spans="1:6">
      <c r="A12" s="3">
        <v>11</v>
      </c>
      <c r="B12" s="3">
        <v>0</v>
      </c>
      <c r="C12" s="3">
        <f t="shared" si="1"/>
        <v>0</v>
      </c>
      <c r="D12" s="3">
        <v>0</v>
      </c>
      <c r="E12" s="3">
        <f t="shared" ref="E12" si="8">SUM(D9:D11)</f>
        <v>0</v>
      </c>
      <c r="F12" s="3"/>
    </row>
    <row r="13" spans="1:6">
      <c r="A13" s="3">
        <v>12</v>
      </c>
      <c r="B13" s="3">
        <v>0</v>
      </c>
      <c r="C13" s="3">
        <f t="shared" si="1"/>
        <v>0</v>
      </c>
      <c r="D13" s="3">
        <v>0</v>
      </c>
      <c r="E13" s="3">
        <f t="shared" ref="E13" si="9">SUM(D10:D12)</f>
        <v>0</v>
      </c>
      <c r="F13" s="3"/>
    </row>
    <row r="14" spans="1:6">
      <c r="A14" s="3">
        <v>13</v>
      </c>
      <c r="B14" s="3">
        <v>0</v>
      </c>
      <c r="C14" s="3">
        <f t="shared" si="1"/>
        <v>0</v>
      </c>
      <c r="D14" s="3">
        <v>0</v>
      </c>
      <c r="E14" s="3">
        <f t="shared" ref="E14" si="10">SUM(D11:D13)</f>
        <v>0</v>
      </c>
      <c r="F14" s="3"/>
    </row>
    <row r="15" spans="1:6">
      <c r="A15" s="3">
        <v>14</v>
      </c>
      <c r="B15" s="3">
        <v>0</v>
      </c>
      <c r="C15" s="3">
        <f t="shared" si="1"/>
        <v>0</v>
      </c>
      <c r="D15" s="3">
        <v>0</v>
      </c>
      <c r="E15" s="3">
        <f t="shared" ref="E15" si="11">SUM(D12:D14)</f>
        <v>0</v>
      </c>
      <c r="F15" s="3"/>
    </row>
    <row r="16" spans="1:6">
      <c r="A16" s="3">
        <v>15</v>
      </c>
      <c r="B16" s="3">
        <v>0</v>
      </c>
      <c r="C16" s="3">
        <f t="shared" si="1"/>
        <v>0</v>
      </c>
      <c r="D16" s="3">
        <v>0</v>
      </c>
      <c r="E16" s="3">
        <f t="shared" ref="E16" si="12">SUM(D13:D15)</f>
        <v>0</v>
      </c>
      <c r="F16" s="3"/>
    </row>
    <row r="17" spans="1:6">
      <c r="A17" s="3">
        <v>16</v>
      </c>
      <c r="B17" s="3">
        <v>0</v>
      </c>
      <c r="C17" s="3">
        <f t="shared" si="1"/>
        <v>0</v>
      </c>
      <c r="D17" s="3">
        <v>0</v>
      </c>
      <c r="E17" s="3">
        <f t="shared" ref="E17" si="13">SUM(D14:D16)</f>
        <v>0</v>
      </c>
      <c r="F17" s="3"/>
    </row>
    <row r="18" spans="1:6">
      <c r="A18" s="3">
        <v>17</v>
      </c>
      <c r="B18" s="3">
        <v>7</v>
      </c>
      <c r="C18" s="3">
        <f t="shared" si="1"/>
        <v>0</v>
      </c>
      <c r="D18" s="3">
        <v>15</v>
      </c>
      <c r="E18" s="3">
        <f t="shared" ref="E18" si="14">SUM(D15:D17)</f>
        <v>0</v>
      </c>
      <c r="F18" s="3"/>
    </row>
    <row r="19" spans="1:6">
      <c r="A19" s="3">
        <v>18</v>
      </c>
      <c r="B19" s="3">
        <v>0</v>
      </c>
      <c r="C19" s="3">
        <f t="shared" si="1"/>
        <v>7</v>
      </c>
      <c r="D19" s="3">
        <v>0</v>
      </c>
      <c r="E19" s="3">
        <f t="shared" ref="E19" si="15">SUM(D16:D18)</f>
        <v>15</v>
      </c>
      <c r="F19" s="3">
        <f t="shared" si="0"/>
        <v>0.46666666666666667</v>
      </c>
    </row>
    <row r="20" spans="1:6">
      <c r="A20" s="3">
        <v>19</v>
      </c>
      <c r="B20" s="3">
        <v>0</v>
      </c>
      <c r="C20" s="3">
        <f t="shared" si="1"/>
        <v>7</v>
      </c>
      <c r="D20" s="3">
        <v>0</v>
      </c>
      <c r="E20" s="3">
        <f t="shared" ref="E20" si="16">SUM(D17:D19)</f>
        <v>15</v>
      </c>
      <c r="F20" s="3">
        <f t="shared" si="0"/>
        <v>0.46666666666666667</v>
      </c>
    </row>
    <row r="21" spans="1:6">
      <c r="A21" s="3">
        <v>20</v>
      </c>
      <c r="B21" s="3">
        <v>0</v>
      </c>
      <c r="C21" s="3">
        <f t="shared" si="1"/>
        <v>7</v>
      </c>
      <c r="D21" s="3">
        <v>0</v>
      </c>
      <c r="E21" s="3">
        <f t="shared" ref="E21" si="17">SUM(D18:D20)</f>
        <v>15</v>
      </c>
      <c r="F21" s="3">
        <f t="shared" si="0"/>
        <v>0.46666666666666667</v>
      </c>
    </row>
    <row r="22" spans="1:6">
      <c r="A22" s="3">
        <v>21</v>
      </c>
      <c r="B22" s="3">
        <v>14</v>
      </c>
      <c r="C22" s="3">
        <f t="shared" si="1"/>
        <v>0</v>
      </c>
      <c r="D22" s="3">
        <v>13.3</v>
      </c>
      <c r="E22" s="3">
        <f t="shared" ref="E22" si="18">SUM(D19:D21)</f>
        <v>0</v>
      </c>
      <c r="F22" s="3"/>
    </row>
    <row r="23" spans="1:6">
      <c r="A23" s="3">
        <v>22</v>
      </c>
      <c r="B23" s="3">
        <v>0</v>
      </c>
      <c r="C23" s="3">
        <f t="shared" si="1"/>
        <v>14</v>
      </c>
      <c r="D23" s="3">
        <v>0</v>
      </c>
      <c r="E23" s="3">
        <f t="shared" ref="E23" si="19">SUM(D20:D22)</f>
        <v>13.3</v>
      </c>
      <c r="F23" s="3">
        <f t="shared" si="0"/>
        <v>1.0526315789473684</v>
      </c>
    </row>
    <row r="24" spans="1:6">
      <c r="A24" s="3">
        <v>23</v>
      </c>
      <c r="B24">
        <v>0</v>
      </c>
      <c r="C24" s="3">
        <f t="shared" si="1"/>
        <v>14</v>
      </c>
      <c r="D24">
        <v>0</v>
      </c>
      <c r="E24" s="3">
        <f t="shared" ref="E24" si="20">SUM(D21:D23)</f>
        <v>13.3</v>
      </c>
      <c r="F24" s="3">
        <f t="shared" si="0"/>
        <v>1.0526315789473684</v>
      </c>
    </row>
    <row r="25" spans="1:6">
      <c r="A25" s="3">
        <v>24</v>
      </c>
      <c r="B25">
        <v>0</v>
      </c>
      <c r="C25" s="3">
        <f t="shared" si="1"/>
        <v>14</v>
      </c>
      <c r="D25">
        <v>0</v>
      </c>
      <c r="E25" s="3">
        <f t="shared" ref="E25" si="21">SUM(D22:D24)</f>
        <v>13.3</v>
      </c>
      <c r="F25" s="3">
        <f t="shared" si="0"/>
        <v>1.0526315789473684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F152-550E-48F4-9F27-F94F2D7CA7F7}">
  <dimension ref="A1:Z6"/>
  <sheetViews>
    <sheetView workbookViewId="0">
      <selection activeCell="K16" sqref="K16"/>
    </sheetView>
  </sheetViews>
  <sheetFormatPr defaultRowHeight="15"/>
  <sheetData>
    <row r="1" spans="1:26">
      <c r="A1" s="1" t="s">
        <v>17</v>
      </c>
      <c r="B1" s="1" t="s">
        <v>18</v>
      </c>
      <c r="C1" s="1"/>
      <c r="D1" s="1">
        <v>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17</v>
      </c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7</v>
      </c>
      <c r="T2" s="1"/>
      <c r="U2" s="1"/>
      <c r="V2" s="1"/>
      <c r="W2" s="1">
        <v>14</v>
      </c>
      <c r="X2" s="1"/>
      <c r="Y2" s="1"/>
      <c r="Z2" s="1"/>
    </row>
    <row r="3" spans="1:26">
      <c r="A3" s="1" t="s">
        <v>17</v>
      </c>
      <c r="C3">
        <f>C1+C2</f>
        <v>0</v>
      </c>
      <c r="D3">
        <f t="shared" ref="D3:W3" si="0">D1+D2</f>
        <v>26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7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14</v>
      </c>
      <c r="X3">
        <f>X1+X2</f>
        <v>0</v>
      </c>
      <c r="Y3">
        <f t="shared" ref="Y3" si="1">Y1+Y2</f>
        <v>0</v>
      </c>
      <c r="Z3">
        <f t="shared" ref="Z3" si="2">Z1+Z2</f>
        <v>0</v>
      </c>
    </row>
    <row r="4" spans="1:26">
      <c r="A4" s="1" t="s">
        <v>17</v>
      </c>
      <c r="B4" s="1" t="s">
        <v>18</v>
      </c>
      <c r="C4" s="1"/>
      <c r="D4" s="1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17</v>
      </c>
      <c r="B5" s="1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15</v>
      </c>
      <c r="T5" s="1"/>
      <c r="U5" s="1"/>
      <c r="V5" s="1"/>
      <c r="W5" s="1">
        <v>13.3</v>
      </c>
      <c r="X5" s="1"/>
      <c r="Y5" s="1"/>
      <c r="Z5" s="1"/>
    </row>
    <row r="6" spans="1:26">
      <c r="A6" s="1" t="s">
        <v>17</v>
      </c>
      <c r="C6">
        <f>SUM(C4:C5)</f>
        <v>0</v>
      </c>
      <c r="D6">
        <f t="shared" ref="D6:Z6" si="3">SUM(D4:D5)</f>
        <v>14</v>
      </c>
      <c r="E6">
        <f t="shared" si="3"/>
        <v>0</v>
      </c>
      <c r="F6">
        <f t="shared" si="3"/>
        <v>0</v>
      </c>
      <c r="G6">
        <f t="shared" si="3"/>
        <v>0</v>
      </c>
      <c r="H6">
        <f t="shared" si="3"/>
        <v>0</v>
      </c>
      <c r="I6">
        <f t="shared" si="3"/>
        <v>0</v>
      </c>
      <c r="J6">
        <f t="shared" si="3"/>
        <v>0</v>
      </c>
      <c r="K6">
        <f t="shared" si="3"/>
        <v>0</v>
      </c>
      <c r="L6">
        <f t="shared" si="3"/>
        <v>0</v>
      </c>
      <c r="M6">
        <f t="shared" si="3"/>
        <v>0</v>
      </c>
      <c r="N6">
        <f t="shared" si="3"/>
        <v>0</v>
      </c>
      <c r="O6">
        <f t="shared" si="3"/>
        <v>0</v>
      </c>
      <c r="P6">
        <f t="shared" si="3"/>
        <v>0</v>
      </c>
      <c r="Q6">
        <f t="shared" si="3"/>
        <v>0</v>
      </c>
      <c r="R6">
        <f t="shared" si="3"/>
        <v>0</v>
      </c>
      <c r="S6">
        <f t="shared" si="3"/>
        <v>15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13.3</v>
      </c>
      <c r="X6">
        <f t="shared" si="3"/>
        <v>0</v>
      </c>
      <c r="Y6">
        <f t="shared" si="3"/>
        <v>0</v>
      </c>
      <c r="Z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2003 Expected</vt:lpstr>
      <vt:lpstr>2023 Actual</vt:lpstr>
      <vt:lpstr>2004 Expected</vt:lpstr>
      <vt:lpstr>2004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Shepherd</dc:creator>
  <cp:lastModifiedBy>Alex Shepherd</cp:lastModifiedBy>
  <dcterms:created xsi:type="dcterms:W3CDTF">2025-11-01T19:10:26Z</dcterms:created>
  <dcterms:modified xsi:type="dcterms:W3CDTF">2025-12-03T21:58:16Z</dcterms:modified>
</cp:coreProperties>
</file>